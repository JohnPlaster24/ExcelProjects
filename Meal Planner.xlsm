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p\Desktop\"/>
    </mc:Choice>
  </mc:AlternateContent>
  <xr:revisionPtr revIDLastSave="0" documentId="13_ncr:1_{FB372F05-04FC-4B84-B61F-3BCE29B1E3CD}" xr6:coauthVersionLast="47" xr6:coauthVersionMax="47" xr10:uidLastSave="{00000000-0000-0000-0000-000000000000}"/>
  <bookViews>
    <workbookView xWindow="2520" yWindow="2175" windowWidth="21600" windowHeight="11370" activeTab="1" xr2:uid="{99E74855-8B7F-4990-B9F3-82413A9B39C3}"/>
  </bookViews>
  <sheets>
    <sheet name="Dashboard" sheetId="3" r:id="rId1"/>
    <sheet name="Loading" sheetId="15" r:id="rId2"/>
    <sheet name="Distribution List" sheetId="8" r:id="rId3"/>
    <sheet name="Barcodes" sheetId="11" r:id="rId4"/>
    <sheet name="Pantry" sheetId="12" r:id="rId5"/>
    <sheet name="Food Library" sheetId="2" r:id="rId6"/>
    <sheet name="Shopping List" sheetId="4" r:id="rId7"/>
    <sheet name="Definition" sheetId="1" r:id="rId8"/>
    <sheet name="Sandbox" sheetId="6" r:id="rId9"/>
    <sheet name="Consolidate" sheetId="7" r:id="rId10"/>
    <sheet name="Ingredients" sheetId="10" r:id="rId11"/>
  </sheets>
  <functionGroups builtInGroupCount="19"/>
  <definedNames>
    <definedName name="_xlnm._FilterDatabase" localSheetId="9" hidden="1">Consolidate!$A:$A</definedName>
    <definedName name="_xlnm._FilterDatabase" localSheetId="6" hidden="1">'Shopping List'!$A$2:$B$512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D1" i="8" l="1"/>
  <c r="C2" i="8" l="1"/>
  <c r="C24" i="4" l="1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B4" i="8"/>
  <c r="B5" i="8"/>
  <c r="B6" i="8"/>
  <c r="B7" i="8"/>
  <c r="B8" i="8"/>
  <c r="B9" i="8"/>
  <c r="B10" i="8"/>
  <c r="B3" i="8"/>
  <c r="B11" i="8"/>
  <c r="B12" i="8"/>
  <c r="B13" i="8"/>
  <c r="B14" i="8"/>
  <c r="B15" i="8"/>
  <c r="B16" i="8"/>
  <c r="B17" i="8"/>
  <c r="B18" i="8"/>
  <c r="B19" i="8"/>
  <c r="B20" i="8"/>
  <c r="B21" i="8"/>
  <c r="B2" i="8"/>
  <c r="B1" i="8" l="1"/>
  <c r="B3" i="4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2" i="4"/>
  <c r="C2" i="4" s="1"/>
</calcChain>
</file>

<file path=xl/sharedStrings.xml><?xml version="1.0" encoding="utf-8"?>
<sst xmlns="http://schemas.openxmlformats.org/spreadsheetml/2006/main" count="492" uniqueCount="200">
  <si>
    <t>Grilled Cheese</t>
  </si>
  <si>
    <t>Soup</t>
  </si>
  <si>
    <t>Burgers and Fries</t>
  </si>
  <si>
    <t>Chicken Wraps</t>
  </si>
  <si>
    <t>Turkey Burgers and Fries</t>
  </si>
  <si>
    <t>Pizza</t>
  </si>
  <si>
    <t>Salmon and Asperagas</t>
  </si>
  <si>
    <t>Hotdogs and Fries</t>
  </si>
  <si>
    <t>Chicken Tenders with French Fries</t>
  </si>
  <si>
    <t>Roast Stew</t>
  </si>
  <si>
    <t>Pretzels and Hummus</t>
  </si>
  <si>
    <t>Omelet</t>
  </si>
  <si>
    <t>Tortilla Wraps</t>
  </si>
  <si>
    <t>Cheese</t>
  </si>
  <si>
    <t>Ham Slice</t>
  </si>
  <si>
    <t>Onion</t>
  </si>
  <si>
    <t>Tomato</t>
  </si>
  <si>
    <t>Egg</t>
  </si>
  <si>
    <t>dSpoil</t>
  </si>
  <si>
    <t>dPrep</t>
  </si>
  <si>
    <t>dMeal</t>
  </si>
  <si>
    <t>Morning Egg</t>
  </si>
  <si>
    <t>dLeftOver</t>
  </si>
  <si>
    <t>Tag</t>
  </si>
  <si>
    <t>Definition</t>
  </si>
  <si>
    <t>Meal Name</t>
  </si>
  <si>
    <t>Approximate time from starting to eating</t>
  </si>
  <si>
    <t>Expected timeframe for cooked meals to hold</t>
  </si>
  <si>
    <t>Leftover meals by serving (1 = 1 Person eating</t>
  </si>
  <si>
    <t>Pretzles (Cup)</t>
  </si>
  <si>
    <t>Shredded Cheese (Cup)</t>
  </si>
  <si>
    <t>Hamburger Bun</t>
  </si>
  <si>
    <t>Beef Patty</t>
  </si>
  <si>
    <t>Lettuce</t>
  </si>
  <si>
    <t>Breaded Chicken</t>
  </si>
  <si>
    <t>Chicken StirFri</t>
  </si>
  <si>
    <t>Kielbasa StirFri</t>
  </si>
  <si>
    <t>Hummus (Cup)</t>
  </si>
  <si>
    <t>Bag of Popcorn</t>
  </si>
  <si>
    <t>Roast</t>
  </si>
  <si>
    <t>Fries</t>
  </si>
  <si>
    <t>NPS</t>
  </si>
  <si>
    <t>Need Package Size (Fries have small and big bags, will need to define product size normally bought</t>
  </si>
  <si>
    <t>Chicken Tenders</t>
  </si>
  <si>
    <t>Frozen Pizza</t>
  </si>
  <si>
    <t>Item</t>
  </si>
  <si>
    <t>Morning</t>
  </si>
  <si>
    <t>Lunch</t>
  </si>
  <si>
    <t>Snack</t>
  </si>
  <si>
    <t>Dinner</t>
  </si>
  <si>
    <t>Tuesday</t>
  </si>
  <si>
    <t>Monday</t>
  </si>
  <si>
    <t>Wednesday</t>
  </si>
  <si>
    <t>Thursday</t>
  </si>
  <si>
    <t>Friday</t>
  </si>
  <si>
    <t>Saturday</t>
  </si>
  <si>
    <t>Sunday</t>
  </si>
  <si>
    <t/>
  </si>
  <si>
    <t>No Entry</t>
  </si>
  <si>
    <t>Fast Food</t>
  </si>
  <si>
    <t>MondayMorning</t>
  </si>
  <si>
    <t>MondayLunch</t>
  </si>
  <si>
    <t>MondaySnack</t>
  </si>
  <si>
    <t>MondayDinner</t>
  </si>
  <si>
    <t>TuesdayMorning</t>
  </si>
  <si>
    <t>TuesdayLunch</t>
  </si>
  <si>
    <t>TuesdayDinner</t>
  </si>
  <si>
    <t>WednesdayMorning</t>
  </si>
  <si>
    <t>WednesdayLunch</t>
  </si>
  <si>
    <t>WednesdaySnack</t>
  </si>
  <si>
    <t>WednesdayDinner</t>
  </si>
  <si>
    <t>ThursdayMorning</t>
  </si>
  <si>
    <t>ThursdayLunch</t>
  </si>
  <si>
    <t>ThursdaySnack</t>
  </si>
  <si>
    <t>ThursdayDinner</t>
  </si>
  <si>
    <t>FridayMorning</t>
  </si>
  <si>
    <t>FridayLunch</t>
  </si>
  <si>
    <t>FridaySnack</t>
  </si>
  <si>
    <t>FridayDinner</t>
  </si>
  <si>
    <t>SaturdayMorning</t>
  </si>
  <si>
    <t>SaturdayLunch</t>
  </si>
  <si>
    <t>SaturdaySnack</t>
  </si>
  <si>
    <t>SaturdayDinner</t>
  </si>
  <si>
    <t>SundayMorning</t>
  </si>
  <si>
    <t>SundayLunch</t>
  </si>
  <si>
    <t>SundaySnack</t>
  </si>
  <si>
    <t>SundayDinner</t>
  </si>
  <si>
    <t>Second Snack</t>
  </si>
  <si>
    <t>MondaySnack2</t>
  </si>
  <si>
    <t>TuesdaySnack2</t>
  </si>
  <si>
    <t>WednesdaySnack2</t>
  </si>
  <si>
    <t>ThursdaySnack2</t>
  </si>
  <si>
    <t>FridaySnack2</t>
  </si>
  <si>
    <t>SaturdaySnack2</t>
  </si>
  <si>
    <t>SundaySnack2</t>
  </si>
  <si>
    <t>Dropdown Variable Names</t>
  </si>
  <si>
    <t>TuesdaySnack</t>
  </si>
  <si>
    <t>Location of Variable</t>
  </si>
  <si>
    <t>Sheets("Dashboard").Range("B2").Value</t>
  </si>
  <si>
    <t>Sheets("Dashboard").Range("C2").Value</t>
  </si>
  <si>
    <t>Sheets("Dashboard").Range("D2").Value</t>
  </si>
  <si>
    <t>Sheets("Dashboard").Range("E2").Value</t>
  </si>
  <si>
    <t>Sheets("Dashboard").Range("B3").Value</t>
  </si>
  <si>
    <t>Sheets("Dashboard").Range("C3").Value</t>
  </si>
  <si>
    <t>Sheets("Dashboard").Range("D3").Value</t>
  </si>
  <si>
    <t>Sheets("Dashboard").Range("E3").Value</t>
  </si>
  <si>
    <t>Sheets("Dashboard").Range("B4").Value</t>
  </si>
  <si>
    <t>Sheets("Dashboard").Range("C4").Value</t>
  </si>
  <si>
    <t>Sheets("Dashboard").Range("D4").Value</t>
  </si>
  <si>
    <t>Sheets("Dashboard").Range("E4").Value</t>
  </si>
  <si>
    <t>Sheets("Dashboard").Range("B5").Value</t>
  </si>
  <si>
    <t>Sheets("Dashboard").Range("C5").Value</t>
  </si>
  <si>
    <t>Sheets("Dashboard").Range("D5").Value</t>
  </si>
  <si>
    <t>Sheets("Dashboard").Range("E5").Value</t>
  </si>
  <si>
    <t>Sheets("Dashboard").Range("B6").Value</t>
  </si>
  <si>
    <t>Sheets("Dashboard").Range("C6").Value</t>
  </si>
  <si>
    <t>Sheets("Dashboard").Range("D6").Value</t>
  </si>
  <si>
    <t>Sheets("Dashboard").Range("E6").Value</t>
  </si>
  <si>
    <t>Sheets("Dashboard").Range("B7").Value</t>
  </si>
  <si>
    <t>Sheets("Dashboard").Range("C7").Value</t>
  </si>
  <si>
    <t>Sheets("Dashboard").Range("D7").Value</t>
  </si>
  <si>
    <t>Sheets("Dashboard").Range("E7").Value</t>
  </si>
  <si>
    <t>Sheets("Dashboard").Range("B8").Value</t>
  </si>
  <si>
    <t>Sheets("Dashboard").Range("C8").Value</t>
  </si>
  <si>
    <t>Sheets("Dashboard").Range("D8").Value</t>
  </si>
  <si>
    <t>Sheets("Dashboard").Range("E8").Value</t>
  </si>
  <si>
    <t>Sheets("Dashboard").Range("F2").Value</t>
  </si>
  <si>
    <t>Sheets("Dashboard").Range("F3").Value</t>
  </si>
  <si>
    <t>Sheets("Dashboard").Range("F4").Value</t>
  </si>
  <si>
    <t>Sheets("Dashboard").Range("F5").Value</t>
  </si>
  <si>
    <t>Sheets("Dashboard").Range("F6").Value</t>
  </si>
  <si>
    <t>Sheets("Dashboard").Range("F7").Value</t>
  </si>
  <si>
    <t>Sheets("Dashboard").Range("F8").Value</t>
  </si>
  <si>
    <t>Taquitos</t>
  </si>
  <si>
    <t>Tortilla Chips and Salsa</t>
  </si>
  <si>
    <t>Quantity Needed</t>
  </si>
  <si>
    <t>ITEM</t>
  </si>
  <si>
    <t>Email</t>
  </si>
  <si>
    <t>Subject:</t>
  </si>
  <si>
    <t>Action</t>
  </si>
  <si>
    <t>Select Meals</t>
  </si>
  <si>
    <t>Build Shopping List</t>
  </si>
  <si>
    <t>Send Email/Text</t>
  </si>
  <si>
    <t>Item/Quantity</t>
  </si>
  <si>
    <t>Cheesy Enchilada</t>
  </si>
  <si>
    <t>Hamburger Helper (Cheesy Enchilada)</t>
  </si>
  <si>
    <t>Ground Beef</t>
  </si>
  <si>
    <t>Edit Meais</t>
  </si>
  <si>
    <t>Cheese Slices</t>
  </si>
  <si>
    <t>Turkey Burgers</t>
  </si>
  <si>
    <t>Hummus Cups</t>
  </si>
  <si>
    <t>Bag of Pretzels</t>
  </si>
  <si>
    <t>Ham Slices</t>
  </si>
  <si>
    <t>Eggs</t>
  </si>
  <si>
    <t>Hamburger Helper Cheesy Enchilada</t>
  </si>
  <si>
    <t>Rice A Roni -</t>
  </si>
  <si>
    <t>Rice A Roni - Chicken and Mushroom</t>
  </si>
  <si>
    <t>Bread Slices</t>
  </si>
  <si>
    <t>Hamburger Buns</t>
  </si>
  <si>
    <t>Mustard</t>
  </si>
  <si>
    <t>BBQ Sauce</t>
  </si>
  <si>
    <t>Ketchup</t>
  </si>
  <si>
    <t>Basy Spinach</t>
  </si>
  <si>
    <t>Cheese Pizza</t>
  </si>
  <si>
    <t>Veggie Bowl</t>
  </si>
  <si>
    <t>Loading….</t>
  </si>
  <si>
    <t>Name</t>
  </si>
  <si>
    <t>dServings</t>
  </si>
  <si>
    <t>Salsa</t>
  </si>
  <si>
    <t>Tortilla Chips</t>
  </si>
  <si>
    <t>Milk (Cup)</t>
  </si>
  <si>
    <t>Can of Soup</t>
  </si>
  <si>
    <t>Bread (Slice)</t>
  </si>
  <si>
    <t>Hot Dogs</t>
  </si>
  <si>
    <t>Bag of Veggies</t>
  </si>
  <si>
    <t>Salmon</t>
  </si>
  <si>
    <t>Asperagas</t>
  </si>
  <si>
    <t>Zucchini</t>
  </si>
  <si>
    <t>Kielbasa</t>
  </si>
  <si>
    <t>Almounds (Cup)</t>
  </si>
  <si>
    <t>Lime Juice</t>
  </si>
  <si>
    <t>Guacamole</t>
  </si>
  <si>
    <t>Chicken Breast</t>
  </si>
  <si>
    <t>Spinnage leafs</t>
  </si>
  <si>
    <t xml:space="preserve"> </t>
  </si>
  <si>
    <t>Cup of Almonds</t>
  </si>
  <si>
    <t>Workflow</t>
  </si>
  <si>
    <t>Open Column</t>
  </si>
  <si>
    <t>Unit of Measurement</t>
  </si>
  <si>
    <t>Grocery Store</t>
  </si>
  <si>
    <t>Spoil Date</t>
  </si>
  <si>
    <t>Open Row</t>
  </si>
  <si>
    <t>Breast</t>
  </si>
  <si>
    <t>Bag</t>
  </si>
  <si>
    <t>Box</t>
  </si>
  <si>
    <t>BackupUpdated</t>
  </si>
  <si>
    <t>Instruction</t>
  </si>
  <si>
    <t>Handle</t>
  </si>
  <si>
    <t xml:space="preserve">1. Cut up roast, brown on skillit, worchester sauce, salt, pepper._x000D_
_x000D_
2. Cut up vegetables (Garlic, Carrots, Potatoes, Onions). _x000D_
_x000D_
3. Add two cups of Beef broth. Cook on low for 8 hours. 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</si>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</sst>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1" xfId="0" applyBorder="1"/>
    <xf numFmtId="0" fontId="4" fillId="0" borderId="1" xfId="1" applyBorder="1"/>
    <xf numFmtId="0" fontId="1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1" fillId="2" borderId="0" xfId="0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0" fontId="1" fillId="2" borderId="0" xfId="0" applyFont="1" applyFill="1"/>
    <xf numFmtId="0" fontId="0" fillId="4" borderId="0" xfId="0" applyFill="1"/>
    <xf numFmtId="0" fontId="3" fillId="4" borderId="1" xfId="0" applyFont="1" applyFill="1" applyBorder="1"/>
    <xf numFmtId="0" fontId="5" fillId="4" borderId="1" xfId="0" applyFont="1" applyFill="1" applyBorder="1"/>
    <xf numFmtId="0" fontId="6" fillId="0" borderId="0" xfId="0" applyFont="1"/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142875</xdr:rowOff>
        </xdr:from>
        <xdr:to>
          <xdr:col>0</xdr:col>
          <xdr:colOff>1866900</xdr:colOff>
          <xdr:row>0</xdr:row>
          <xdr:rowOff>390525</xdr:rowOff>
        </xdr:to>
        <xdr:sp macro="" textlink="">
          <xdr:nvSpPr>
            <xdr:cNvPr id="2052" name="Combo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</xdr:row>
          <xdr:rowOff>76200</xdr:rowOff>
        </xdr:from>
        <xdr:to>
          <xdr:col>2</xdr:col>
          <xdr:colOff>19050</xdr:colOff>
          <xdr:row>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Meal Planner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image" Target="../media/image2.jpe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FD6CA-7588-4C82-81E6-62A956373ADB}">
  <sheetPr codeName="Sheet2"/>
  <dimension ref="A1:Z50"/>
  <sheetViews>
    <sheetView workbookViewId="0">
      <selection activeCell="C9" sqref="C9"/>
    </sheetView>
  </sheetViews>
  <sheetFormatPr defaultRowHeight="15" x14ac:dyDescent="0.25"/>
  <cols>
    <col min="1" max="1" width="30.140625" style="11" customWidth="1"/>
    <col min="2" max="6" width="24.42578125" customWidth="1"/>
    <col min="7" max="9" width="9.140625" style="11" customWidth="1"/>
    <col min="10" max="10" width="10.28515625" style="11" customWidth="1"/>
    <col min="11" max="22" width="9.140625" style="11"/>
    <col min="23" max="26" width="9.140625" style="6"/>
  </cols>
  <sheetData>
    <row r="1" spans="1:6" ht="37.5" customHeight="1" x14ac:dyDescent="0.35">
      <c r="A1" s="12"/>
      <c r="B1" s="12" t="s">
        <v>46</v>
      </c>
      <c r="C1" s="12" t="s">
        <v>47</v>
      </c>
      <c r="D1" s="12" t="s">
        <v>48</v>
      </c>
      <c r="E1" s="12" t="s">
        <v>49</v>
      </c>
      <c r="F1" s="12" t="s">
        <v>87</v>
      </c>
    </row>
    <row r="2" spans="1:6" ht="45" customHeight="1" x14ac:dyDescent="0.45">
      <c r="A2" s="13" t="s">
        <v>51</v>
      </c>
      <c r="B2" s="2" t="s">
        <v>21</v>
      </c>
      <c r="C2" s="2" t="s">
        <v>10</v>
      </c>
      <c r="D2" s="2" t="s">
        <v>38</v>
      </c>
      <c r="E2" s="2" t="s">
        <v>2</v>
      </c>
      <c r="F2" s="2" t="s">
        <v>57</v>
      </c>
    </row>
    <row r="3" spans="1:6" ht="45" customHeight="1" x14ac:dyDescent="0.45">
      <c r="A3" s="13" t="s">
        <v>50</v>
      </c>
      <c r="B3" s="2" t="s">
        <v>21</v>
      </c>
      <c r="C3" s="2" t="s">
        <v>10</v>
      </c>
      <c r="D3" s="2" t="s">
        <v>38</v>
      </c>
      <c r="E3" s="2" t="s">
        <v>144</v>
      </c>
      <c r="F3" s="2" t="s">
        <v>57</v>
      </c>
    </row>
    <row r="4" spans="1:6" ht="45" customHeight="1" x14ac:dyDescent="0.45">
      <c r="A4" s="13" t="s">
        <v>52</v>
      </c>
      <c r="B4" s="2" t="s">
        <v>21</v>
      </c>
      <c r="C4" s="2" t="s">
        <v>10</v>
      </c>
      <c r="D4" s="2" t="s">
        <v>38</v>
      </c>
      <c r="E4" s="2" t="s">
        <v>5</v>
      </c>
      <c r="F4" s="2" t="s">
        <v>57</v>
      </c>
    </row>
    <row r="5" spans="1:6" ht="45" customHeight="1" x14ac:dyDescent="0.45">
      <c r="A5" s="13" t="s">
        <v>53</v>
      </c>
      <c r="B5" s="2" t="s">
        <v>21</v>
      </c>
      <c r="C5" s="2" t="s">
        <v>10</v>
      </c>
      <c r="D5" s="2" t="s">
        <v>38</v>
      </c>
      <c r="E5" s="2" t="s">
        <v>3</v>
      </c>
      <c r="F5" s="2" t="s">
        <v>57</v>
      </c>
    </row>
    <row r="6" spans="1:6" ht="45" customHeight="1" x14ac:dyDescent="0.45">
      <c r="A6" s="13" t="s">
        <v>54</v>
      </c>
      <c r="B6" s="2" t="s">
        <v>21</v>
      </c>
      <c r="C6" s="2" t="s">
        <v>10</v>
      </c>
      <c r="D6" s="2" t="s">
        <v>38</v>
      </c>
      <c r="E6" s="2" t="s">
        <v>8</v>
      </c>
      <c r="F6" s="2" t="s">
        <v>57</v>
      </c>
    </row>
    <row r="7" spans="1:6" ht="45" customHeight="1" x14ac:dyDescent="0.45">
      <c r="A7" s="13" t="s">
        <v>55</v>
      </c>
      <c r="B7" s="2" t="s">
        <v>21</v>
      </c>
      <c r="C7" s="2" t="s">
        <v>10</v>
      </c>
      <c r="D7" s="2" t="s">
        <v>38</v>
      </c>
      <c r="E7" s="2" t="s">
        <v>9</v>
      </c>
      <c r="F7" s="2" t="s">
        <v>57</v>
      </c>
    </row>
    <row r="8" spans="1:6" ht="45" customHeight="1" x14ac:dyDescent="0.45">
      <c r="A8" s="13" t="s">
        <v>56</v>
      </c>
      <c r="B8" s="2" t="s">
        <v>21</v>
      </c>
      <c r="C8" s="2" t="s">
        <v>10</v>
      </c>
      <c r="D8" s="2" t="s">
        <v>38</v>
      </c>
      <c r="E8" s="2" t="s">
        <v>133</v>
      </c>
      <c r="F8" s="2" t="s">
        <v>57</v>
      </c>
    </row>
    <row r="9" spans="1:6" s="11" customFormat="1" x14ac:dyDescent="0.25"/>
    <row r="10" spans="1:6" s="11" customFormat="1" x14ac:dyDescent="0.25"/>
    <row r="11" spans="1:6" s="11" customFormat="1" x14ac:dyDescent="0.25"/>
    <row r="12" spans="1:6" s="11" customFormat="1" x14ac:dyDescent="0.25"/>
    <row r="13" spans="1:6" s="11" customFormat="1" x14ac:dyDescent="0.25"/>
    <row r="14" spans="1:6" s="11" customFormat="1" x14ac:dyDescent="0.25"/>
    <row r="15" spans="1:6" s="11" customFormat="1" x14ac:dyDescent="0.25"/>
    <row r="16" spans="1:6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pans="1:22" s="11" customFormat="1" x14ac:dyDescent="0.25"/>
    <row r="34" spans="1:22" s="11" customFormat="1" x14ac:dyDescent="0.25"/>
    <row r="35" spans="1:22" s="11" customFormat="1" x14ac:dyDescent="0.25"/>
    <row r="36" spans="1:22" s="11" customFormat="1" x14ac:dyDescent="0.25"/>
    <row r="37" spans="1:22" s="11" customFormat="1" x14ac:dyDescent="0.25"/>
    <row r="38" spans="1:22" s="11" customFormat="1" x14ac:dyDescent="0.25"/>
    <row r="39" spans="1:22" s="11" customFormat="1" x14ac:dyDescent="0.25"/>
    <row r="40" spans="1:22" s="11" customFormat="1" x14ac:dyDescent="0.25"/>
    <row r="41" spans="1:22" s="11" customFormat="1" x14ac:dyDescent="0.25"/>
    <row r="42" spans="1:22" s="11" customFormat="1" x14ac:dyDescent="0.25"/>
    <row r="43" spans="1:22" s="6" customFormat="1" x14ac:dyDescent="0.25">
      <c r="A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</row>
    <row r="44" spans="1:22" s="6" customFormat="1" x14ac:dyDescent="0.25">
      <c r="A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</row>
    <row r="45" spans="1:22" s="6" customFormat="1" x14ac:dyDescent="0.25">
      <c r="A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1:22" s="6" customFormat="1" x14ac:dyDescent="0.25">
      <c r="A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</row>
    <row r="47" spans="1:22" s="6" customFormat="1" x14ac:dyDescent="0.25">
      <c r="A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</row>
    <row r="48" spans="1:22" s="6" customFormat="1" x14ac:dyDescent="0.25">
      <c r="A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</row>
    <row r="49" spans="1:22" s="6" customFormat="1" x14ac:dyDescent="0.25">
      <c r="A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</row>
    <row r="50" spans="1:22" s="6" customFormat="1" x14ac:dyDescent="0.25">
      <c r="A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</row>
  </sheetData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boBox1">
          <controlPr defaultSize="0" autoLine="0" autoPict="0" listFillRange="Definition!O2:O7" r:id="rId5">
            <anchor>
              <from>
                <xdr:col>0</xdr:col>
                <xdr:colOff>123825</xdr:colOff>
                <xdr:row>0</xdr:row>
                <xdr:rowOff>142875</xdr:rowOff>
              </from>
              <to>
                <xdr:col>0</xdr:col>
                <xdr:colOff>1866900</xdr:colOff>
                <xdr:row>0</xdr:row>
                <xdr:rowOff>390525</xdr:rowOff>
              </to>
            </anchor>
          </controlPr>
        </control>
      </mc:Choice>
      <mc:Fallback>
        <control shapeId="2052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7A52B-75AF-49A2-AFF2-0938853CD014}">
  <sheetPr codeName="Sheet13"/>
  <dimension ref="A1:G3"/>
  <sheetViews>
    <sheetView showGridLines="0" showRowColHeaders="0" tabSelected="1" workbookViewId="0">
      <selection activeCell="K6" sqref="K6"/>
    </sheetView>
  </sheetViews>
  <sheetFormatPr defaultColWidth="9.140625" defaultRowHeight="15" x14ac:dyDescent="0.25"/>
  <sheetData>
    <row r="1" spans="1:7" ht="65.25" customHeight="1" x14ac:dyDescent="0.7">
      <c r="A1" s="14" t="s">
        <v>165</v>
      </c>
      <c r="G1" s="15"/>
    </row>
    <row r="3" spans="1:7" x14ac:dyDescent="0.25">
      <c r="C3" s="19"/>
    </row>
  </sheetData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owMealSelection">
                <anchor moveWithCells="1" sizeWithCells="1">
                  <from>
                    <xdr:col>0</xdr:col>
                    <xdr:colOff>171450</xdr:colOff>
                    <xdr:row>1</xdr:row>
                    <xdr:rowOff>76200</xdr:rowOff>
                  </from>
                  <to>
                    <xdr:col>2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26489-2289-4722-AA29-F049D462DAC6}">
  <sheetPr codeName="Sheet4"/>
  <dimension ref="A1:E21"/>
  <sheetViews>
    <sheetView workbookViewId="0">
      <selection activeCell="C16" sqref="C16"/>
    </sheetView>
  </sheetViews>
  <sheetFormatPr defaultRowHeight="15" x14ac:dyDescent="0.25"/>
  <cols>
    <col min="1" max="1" width="33.140625" customWidth="1"/>
    <col min="2" max="2" width="57.7109375" customWidth="1"/>
    <col min="3" max="3" width="11.42578125" customWidth="1"/>
    <col min="4" max="4" width="35.85546875" customWidth="1"/>
  </cols>
  <sheetData>
    <row r="1" spans="1:5" x14ac:dyDescent="0.25">
      <c r="A1" s="4" t="s">
        <v>137</v>
      </c>
      <c r="B1" s="5" t="str">
        <f>CONCATENATE(B2,B3,B4,B5,B6,B7,B8,B9,B10)</f>
        <v/>
      </c>
      <c r="C1" s="1" t="s">
        <v>138</v>
      </c>
      <c r="D1" t="str">
        <f ca="1">CONCATENATE("Week ", TEXT(TODAY()+(7-WEEKDAY(TODAY(),2)+1),"MM/DD"), " Grocery List")</f>
        <v>Week 06/24 Grocery List</v>
      </c>
      <c r="E1" t="str">
        <f ca="1">CONCATENATE("Meal plans for the week of ", TEXT(TODAY()+(-WEEKDAY(TODAY(),2)+1),"MM/DD"))</f>
        <v>Meal plans for the week of 06/17</v>
      </c>
    </row>
    <row r="2" spans="1:5" x14ac:dyDescent="0.25">
      <c r="A2" s="3"/>
      <c r="B2" s="2" t="str">
        <f>IF(A2="", "",A2)</f>
        <v/>
      </c>
      <c r="C2">
        <f>COUNTA(A2:A6)</f>
        <v>0</v>
      </c>
    </row>
    <row r="3" spans="1:5" x14ac:dyDescent="0.25">
      <c r="A3" s="3"/>
      <c r="B3" s="2" t="str">
        <f>IF(A3="","",IF(A2="",A10,CONCATENATE("; ",A3)))</f>
        <v/>
      </c>
    </row>
    <row r="4" spans="1:5" x14ac:dyDescent="0.25">
      <c r="A4" s="3"/>
      <c r="B4" s="2" t="str">
        <f t="shared" ref="B4:B10" si="0">IF(A4="","",IF(A3="",A11,CONCATENATE("; ",A4)))</f>
        <v/>
      </c>
    </row>
    <row r="5" spans="1:5" x14ac:dyDescent="0.25">
      <c r="A5" s="2"/>
      <c r="B5" s="2" t="str">
        <f t="shared" si="0"/>
        <v/>
      </c>
    </row>
    <row r="6" spans="1:5" x14ac:dyDescent="0.25">
      <c r="A6" s="2"/>
      <c r="B6" s="2" t="str">
        <f t="shared" si="0"/>
        <v/>
      </c>
    </row>
    <row r="7" spans="1:5" x14ac:dyDescent="0.25">
      <c r="A7" s="2"/>
      <c r="B7" s="2" t="str">
        <f t="shared" si="0"/>
        <v/>
      </c>
      <c r="D7" s="3"/>
    </row>
    <row r="8" spans="1:5" x14ac:dyDescent="0.25">
      <c r="A8" s="2"/>
      <c r="B8" s="2" t="str">
        <f t="shared" si="0"/>
        <v/>
      </c>
      <c r="D8" s="3"/>
    </row>
    <row r="9" spans="1:5" x14ac:dyDescent="0.25">
      <c r="A9" s="2"/>
      <c r="B9" s="2" t="str">
        <f t="shared" si="0"/>
        <v/>
      </c>
    </row>
    <row r="10" spans="1:5" x14ac:dyDescent="0.25">
      <c r="A10" s="2"/>
      <c r="B10" s="2" t="str">
        <f t="shared" si="0"/>
        <v/>
      </c>
    </row>
    <row r="11" spans="1:5" x14ac:dyDescent="0.25">
      <c r="B11" t="str">
        <f t="shared" ref="B11:B21" si="1">IF(A11="","",IF(A10="",A11,CONCATENATE("; ",A11)))</f>
        <v/>
      </c>
    </row>
    <row r="12" spans="1:5" x14ac:dyDescent="0.25">
      <c r="B12" t="str">
        <f t="shared" si="1"/>
        <v/>
      </c>
    </row>
    <row r="13" spans="1:5" x14ac:dyDescent="0.25">
      <c r="B13" t="str">
        <f t="shared" si="1"/>
        <v/>
      </c>
    </row>
    <row r="14" spans="1:5" x14ac:dyDescent="0.25">
      <c r="B14" t="str">
        <f t="shared" si="1"/>
        <v/>
      </c>
    </row>
    <row r="15" spans="1:5" x14ac:dyDescent="0.25">
      <c r="B15" t="str">
        <f t="shared" si="1"/>
        <v/>
      </c>
    </row>
    <row r="16" spans="1:5" x14ac:dyDescent="0.25">
      <c r="B16" t="str">
        <f t="shared" si="1"/>
        <v/>
      </c>
    </row>
    <row r="17" spans="2:2" x14ac:dyDescent="0.25">
      <c r="B17" t="str">
        <f t="shared" si="1"/>
        <v/>
      </c>
    </row>
    <row r="18" spans="2:2" x14ac:dyDescent="0.25">
      <c r="B18" t="str">
        <f t="shared" si="1"/>
        <v/>
      </c>
    </row>
    <row r="19" spans="2:2" x14ac:dyDescent="0.25">
      <c r="B19" t="str">
        <f t="shared" si="1"/>
        <v/>
      </c>
    </row>
    <row r="20" spans="2:2" x14ac:dyDescent="0.25">
      <c r="B20" t="str">
        <f t="shared" si="1"/>
        <v/>
      </c>
    </row>
    <row r="21" spans="2:2" x14ac:dyDescent="0.25">
      <c r="B21" t="str">
        <f t="shared" si="1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402E-A89D-4C49-BB91-3DD4A6F6D862}">
  <sheetPr codeName="Sheet10"/>
  <dimension ref="A1:C18"/>
  <sheetViews>
    <sheetView workbookViewId="0">
      <selection activeCell="O14" sqref="O14"/>
    </sheetView>
  </sheetViews>
  <sheetFormatPr defaultRowHeight="15" x14ac:dyDescent="0.25"/>
  <cols>
    <col min="1" max="1" width="12" bestFit="1" customWidth="1"/>
    <col min="2" max="2" width="19.140625" customWidth="1"/>
    <col min="3" max="3" width="12" bestFit="1" customWidth="1"/>
  </cols>
  <sheetData>
    <row r="1" spans="1:3" x14ac:dyDescent="0.25">
      <c r="A1">
        <v>36514237687</v>
      </c>
      <c r="B1" t="s">
        <v>148</v>
      </c>
      <c r="C1">
        <v>44</v>
      </c>
    </row>
    <row r="2" spans="1:3" x14ac:dyDescent="0.25">
      <c r="A2">
        <v>22655724032</v>
      </c>
      <c r="B2" t="s">
        <v>149</v>
      </c>
      <c r="C2">
        <v>12</v>
      </c>
    </row>
    <row r="3" spans="1:3" x14ac:dyDescent="0.25">
      <c r="A3">
        <v>96619233908</v>
      </c>
      <c r="B3" t="s">
        <v>150</v>
      </c>
      <c r="C3">
        <v>20</v>
      </c>
    </row>
    <row r="4" spans="1:3" x14ac:dyDescent="0.25">
      <c r="A4">
        <v>28400047685</v>
      </c>
      <c r="B4" t="s">
        <v>151</v>
      </c>
      <c r="C4">
        <v>16</v>
      </c>
    </row>
    <row r="5" spans="1:3" x14ac:dyDescent="0.25">
      <c r="A5">
        <v>96619316281</v>
      </c>
      <c r="B5" t="s">
        <v>152</v>
      </c>
      <c r="C5">
        <v>24</v>
      </c>
    </row>
    <row r="6" spans="1:3" x14ac:dyDescent="0.25">
      <c r="A6">
        <v>96619129409</v>
      </c>
      <c r="B6" t="s">
        <v>153</v>
      </c>
      <c r="C6">
        <v>24</v>
      </c>
    </row>
    <row r="7" spans="1:3" x14ac:dyDescent="0.25">
      <c r="A7">
        <v>16000159730</v>
      </c>
      <c r="B7" t="s">
        <v>154</v>
      </c>
      <c r="C7">
        <v>1</v>
      </c>
    </row>
    <row r="8" spans="1:3" x14ac:dyDescent="0.25">
      <c r="A8">
        <v>15300014060</v>
      </c>
      <c r="B8" t="s">
        <v>155</v>
      </c>
      <c r="C8">
        <v>1</v>
      </c>
    </row>
    <row r="9" spans="1:3" x14ac:dyDescent="0.25">
      <c r="A9">
        <v>15300430259</v>
      </c>
      <c r="B9" t="s">
        <v>156</v>
      </c>
      <c r="C9">
        <v>1</v>
      </c>
    </row>
    <row r="10" spans="1:3" x14ac:dyDescent="0.25">
      <c r="A10">
        <v>70733778965</v>
      </c>
      <c r="B10" t="s">
        <v>157</v>
      </c>
      <c r="C10">
        <v>20</v>
      </c>
    </row>
    <row r="11" spans="1:3" x14ac:dyDescent="0.25">
      <c r="A11">
        <v>76057002366</v>
      </c>
      <c r="B11" t="s">
        <v>158</v>
      </c>
      <c r="C11">
        <v>12</v>
      </c>
    </row>
    <row r="12" spans="1:3" x14ac:dyDescent="0.25">
      <c r="A12">
        <v>132120</v>
      </c>
      <c r="B12" t="s">
        <v>159</v>
      </c>
    </row>
    <row r="13" spans="1:3" x14ac:dyDescent="0.25">
      <c r="A13">
        <v>13409451328</v>
      </c>
      <c r="B13" t="s">
        <v>160</v>
      </c>
    </row>
    <row r="14" spans="1:3" x14ac:dyDescent="0.25">
      <c r="A14">
        <v>136050</v>
      </c>
      <c r="B14" t="s">
        <v>161</v>
      </c>
    </row>
    <row r="15" spans="1:3" x14ac:dyDescent="0.25">
      <c r="A15">
        <v>32601901509</v>
      </c>
      <c r="B15" t="s">
        <v>162</v>
      </c>
    </row>
    <row r="16" spans="1:3" x14ac:dyDescent="0.25">
      <c r="A16">
        <v>96619177875</v>
      </c>
      <c r="B16" t="s">
        <v>163</v>
      </c>
      <c r="C16">
        <v>2</v>
      </c>
    </row>
    <row r="17" spans="1:3" x14ac:dyDescent="0.25">
      <c r="A17">
        <v>71007404498</v>
      </c>
      <c r="B17" t="s">
        <v>133</v>
      </c>
      <c r="C17">
        <v>4</v>
      </c>
    </row>
    <row r="18" spans="1:3" x14ac:dyDescent="0.25">
      <c r="A18">
        <v>87427431921</v>
      </c>
      <c r="B18" t="s">
        <v>164</v>
      </c>
      <c r="C18">
        <v>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9E2BC-BC11-46CA-9AB4-E27E412367A7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37E60-4851-4792-8B9F-4033488E5D44}">
  <sheetPr codeName="Sheet8"/>
  <dimension ref="A1:AX28"/>
  <sheetViews>
    <sheetView workbookViewId="0">
      <pane xSplit="5" ySplit="25" topLeftCell="AO50" activePane="bottomRight" state="frozen"/>
      <selection pane="topRight" activeCell="F1" sqref="F1"/>
      <selection pane="bottomLeft" activeCell="A21" sqref="A21"/>
      <selection pane="bottomRight" activeCell="AR13" sqref="AR13"/>
    </sheetView>
  </sheetViews>
  <sheetFormatPr defaultColWidth="9.140625" defaultRowHeight="15" x14ac:dyDescent="0.25"/>
  <cols>
    <col min="1" max="1" width="30.28515625" style="17" customWidth="1"/>
    <col min="2" max="2" width="8.42578125" style="17" customWidth="1"/>
    <col min="3" max="3" width="7.140625" style="17" customWidth="1"/>
    <col min="4" max="4" width="10.28515625" style="17" customWidth="1"/>
    <col min="5" max="24" width="14" style="17" customWidth="1"/>
    <col min="25" max="26" width="15.140625" style="17" customWidth="1"/>
    <col min="27" max="30" width="17.28515625" style="17" customWidth="1"/>
    <col min="31" max="31" width="13.42578125" style="17" customWidth="1"/>
    <col min="32" max="32" width="11.7109375" style="17" customWidth="1"/>
    <col min="33" max="34" width="12.140625" style="17" customWidth="1"/>
    <col min="35" max="35" width="11.28515625" style="17" customWidth="1"/>
    <col min="36" max="36" width="14.85546875" style="17" customWidth="1"/>
    <col min="37" max="37" width="21.7109375" style="17" customWidth="1"/>
    <col min="38" max="38" width="9.28515625" style="17" customWidth="1"/>
    <col min="39" max="40" width="9.140625" style="17"/>
    <col min="41" max="41" width="14" style="17" customWidth="1"/>
    <col min="42" max="42" width="13.28515625" style="17" customWidth="1"/>
    <col min="43" max="43" width="11.42578125" style="17" customWidth="1"/>
    <col min="44" max="45" width="9.140625" style="17"/>
    <col min="46" max="46" width="16.140625" style="17" customWidth="1"/>
    <col min="47" max="47" width="16.85546875" style="17" customWidth="1"/>
    <col min="48" max="48" width="14" style="17" customWidth="1"/>
    <col min="49" max="16384" width="9.140625" style="17"/>
  </cols>
  <sheetData>
    <row r="1" spans="1:50" x14ac:dyDescent="0.25">
      <c r="A1" s="16" t="s">
        <v>166</v>
      </c>
      <c r="B1" s="16" t="s">
        <v>19</v>
      </c>
      <c r="C1" s="16" t="s">
        <v>18</v>
      </c>
      <c r="D1" s="16" t="s">
        <v>167</v>
      </c>
      <c r="E1" s="16" t="s">
        <v>196</v>
      </c>
      <c r="F1" s="16" t="s">
        <v>187</v>
      </c>
      <c r="G1" s="16" t="s">
        <v>187</v>
      </c>
      <c r="H1" s="16" t="s">
        <v>187</v>
      </c>
      <c r="I1" s="16" t="s">
        <v>187</v>
      </c>
      <c r="J1" s="16" t="s">
        <v>187</v>
      </c>
      <c r="K1" s="16" t="s">
        <v>187</v>
      </c>
      <c r="L1" s="16" t="s">
        <v>187</v>
      </c>
      <c r="M1" s="16" t="s">
        <v>145</v>
      </c>
      <c r="N1" s="16" t="s">
        <v>146</v>
      </c>
      <c r="O1" s="16" t="s">
        <v>168</v>
      </c>
      <c r="P1" s="16" t="s">
        <v>169</v>
      </c>
      <c r="Q1" s="16" t="s">
        <v>133</v>
      </c>
      <c r="R1" s="16" t="s">
        <v>170</v>
      </c>
      <c r="S1" s="16" t="s">
        <v>171</v>
      </c>
      <c r="T1" s="16" t="s">
        <v>172</v>
      </c>
      <c r="U1" s="16" t="s">
        <v>44</v>
      </c>
      <c r="V1" s="16" t="s">
        <v>39</v>
      </c>
      <c r="W1" s="16" t="s">
        <v>173</v>
      </c>
      <c r="X1" s="16" t="s">
        <v>38</v>
      </c>
      <c r="Y1" s="16" t="s">
        <v>174</v>
      </c>
      <c r="Z1" s="16" t="s">
        <v>40</v>
      </c>
      <c r="AA1" s="16" t="s">
        <v>31</v>
      </c>
      <c r="AB1" s="16" t="s">
        <v>32</v>
      </c>
      <c r="AC1" s="16" t="s">
        <v>33</v>
      </c>
      <c r="AD1" s="16" t="s">
        <v>175</v>
      </c>
      <c r="AE1" s="16" t="s">
        <v>17</v>
      </c>
      <c r="AF1" s="16" t="s">
        <v>16</v>
      </c>
      <c r="AG1" s="16" t="s">
        <v>15</v>
      </c>
      <c r="AH1" s="16" t="s">
        <v>176</v>
      </c>
      <c r="AI1" s="16" t="s">
        <v>14</v>
      </c>
      <c r="AJ1" s="16" t="s">
        <v>13</v>
      </c>
      <c r="AK1" s="16" t="s">
        <v>30</v>
      </c>
      <c r="AL1" s="16" t="s">
        <v>177</v>
      </c>
      <c r="AM1" s="16" t="s">
        <v>178</v>
      </c>
      <c r="AN1" s="16" t="s">
        <v>179</v>
      </c>
      <c r="AO1" s="16" t="s">
        <v>29</v>
      </c>
      <c r="AP1" s="16" t="s">
        <v>37</v>
      </c>
      <c r="AQ1" s="16" t="s">
        <v>180</v>
      </c>
      <c r="AR1" s="16" t="s">
        <v>181</v>
      </c>
      <c r="AS1" s="16" t="s">
        <v>182</v>
      </c>
      <c r="AT1" s="16" t="s">
        <v>34</v>
      </c>
      <c r="AU1" s="16" t="s">
        <v>43</v>
      </c>
      <c r="AV1" s="16" t="s">
        <v>12</v>
      </c>
      <c r="AW1" s="16" t="s">
        <v>183</v>
      </c>
      <c r="AX1" s="17" t="s">
        <v>199</v>
      </c>
    </row>
    <row r="2" spans="1:50" x14ac:dyDescent="0.25">
      <c r="A2" s="16" t="s">
        <v>188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 t="s">
        <v>194</v>
      </c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 t="s">
        <v>193</v>
      </c>
      <c r="AP2" s="16" t="s">
        <v>194</v>
      </c>
      <c r="AQ2" s="16"/>
      <c r="AR2" s="16"/>
      <c r="AS2" s="16" t="s">
        <v>192</v>
      </c>
      <c r="AT2" s="16"/>
      <c r="AU2" s="16"/>
      <c r="AV2" s="16"/>
      <c r="AW2" s="16"/>
    </row>
    <row r="3" spans="1:50" x14ac:dyDescent="0.25">
      <c r="A3" s="16" t="s">
        <v>189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</row>
    <row r="4" spans="1:50" x14ac:dyDescent="0.25">
      <c r="A4" s="16" t="s">
        <v>190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</row>
    <row r="5" spans="1:50" x14ac:dyDescent="0.25">
      <c r="A5" s="16" t="s">
        <v>191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</row>
    <row r="6" spans="1:50" x14ac:dyDescent="0.25">
      <c r="A6" s="16" t="s">
        <v>191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</row>
    <row r="7" spans="1:50" x14ac:dyDescent="0.25">
      <c r="A7" s="17" t="s">
        <v>11</v>
      </c>
      <c r="B7" s="17">
        <v>0.5</v>
      </c>
      <c r="C7" s="17">
        <v>0</v>
      </c>
      <c r="D7" s="17">
        <v>1</v>
      </c>
      <c r="AE7" s="17">
        <v>2</v>
      </c>
      <c r="AF7" s="17">
        <v>0.2</v>
      </c>
      <c r="AG7" s="17">
        <v>0.25</v>
      </c>
      <c r="AI7" s="17">
        <v>1</v>
      </c>
      <c r="AJ7" s="17">
        <v>1</v>
      </c>
    </row>
    <row r="8" spans="1:50" x14ac:dyDescent="0.25">
      <c r="A8" s="17" t="s">
        <v>36</v>
      </c>
      <c r="B8" s="17">
        <v>0.5</v>
      </c>
      <c r="C8" s="17">
        <v>2</v>
      </c>
      <c r="D8" s="17">
        <v>4</v>
      </c>
      <c r="Y8" s="17">
        <v>1</v>
      </c>
      <c r="AM8" s="17">
        <v>1</v>
      </c>
    </row>
    <row r="9" spans="1:50" x14ac:dyDescent="0.25">
      <c r="A9" s="17" t="s">
        <v>35</v>
      </c>
      <c r="B9" s="17">
        <v>1</v>
      </c>
      <c r="C9" s="17">
        <v>2</v>
      </c>
      <c r="D9" s="17">
        <v>4</v>
      </c>
      <c r="Y9" s="17">
        <v>1</v>
      </c>
      <c r="AS9" s="17">
        <v>2</v>
      </c>
    </row>
    <row r="10" spans="1:50" x14ac:dyDescent="0.25">
      <c r="A10" s="17" t="s">
        <v>185</v>
      </c>
      <c r="B10" s="17">
        <v>0</v>
      </c>
      <c r="C10" s="17">
        <v>0</v>
      </c>
      <c r="D10" s="17">
        <v>1</v>
      </c>
      <c r="AN10" s="17">
        <v>0.5</v>
      </c>
    </row>
    <row r="11" spans="1:50" x14ac:dyDescent="0.25">
      <c r="A11" s="17" t="s">
        <v>10</v>
      </c>
      <c r="B11" s="17">
        <v>0</v>
      </c>
      <c r="C11" s="17">
        <v>0</v>
      </c>
      <c r="D11" s="17">
        <v>1</v>
      </c>
      <c r="AO11" s="17">
        <v>1</v>
      </c>
      <c r="AP11" s="17">
        <v>1</v>
      </c>
    </row>
    <row r="12" spans="1:50" x14ac:dyDescent="0.25">
      <c r="A12" s="17" t="s">
        <v>38</v>
      </c>
      <c r="B12" s="17">
        <v>2.5000000000000001E-2</v>
      </c>
      <c r="C12" s="17">
        <v>0</v>
      </c>
      <c r="D12" s="17">
        <v>0</v>
      </c>
      <c r="X12" s="17">
        <v>1</v>
      </c>
    </row>
    <row r="13" spans="1:50" x14ac:dyDescent="0.25">
      <c r="A13" s="17" t="s">
        <v>9</v>
      </c>
      <c r="B13" s="17">
        <v>4</v>
      </c>
      <c r="C13" s="17">
        <v>4</v>
      </c>
      <c r="D13" s="17">
        <v>6</v>
      </c>
      <c r="E13" s="18" t="s">
        <v>198</v>
      </c>
      <c r="V13" s="17">
        <v>1</v>
      </c>
    </row>
    <row r="14" spans="1:50" x14ac:dyDescent="0.25">
      <c r="A14" s="17" t="s">
        <v>8</v>
      </c>
      <c r="B14" s="17">
        <v>0.75</v>
      </c>
      <c r="C14" s="17">
        <v>0</v>
      </c>
      <c r="D14" s="17" t="s">
        <v>41</v>
      </c>
      <c r="Z14" s="17" t="s">
        <v>41</v>
      </c>
      <c r="AU14" s="17">
        <v>2</v>
      </c>
    </row>
    <row r="15" spans="1:50" x14ac:dyDescent="0.25">
      <c r="A15" s="17" t="s">
        <v>7</v>
      </c>
      <c r="B15" s="17">
        <v>0.75</v>
      </c>
      <c r="C15" s="17" t="s">
        <v>41</v>
      </c>
      <c r="D15" s="17" t="s">
        <v>41</v>
      </c>
      <c r="W15" s="17">
        <v>1</v>
      </c>
      <c r="Z15" s="17" t="s">
        <v>41</v>
      </c>
    </row>
    <row r="16" spans="1:50" x14ac:dyDescent="0.25">
      <c r="A16" s="17" t="s">
        <v>6</v>
      </c>
      <c r="B16" s="17">
        <v>0</v>
      </c>
      <c r="C16" s="17">
        <v>0</v>
      </c>
      <c r="D16" s="17">
        <v>2</v>
      </c>
      <c r="AD16" s="17">
        <v>1</v>
      </c>
      <c r="AH16" s="17">
        <v>1</v>
      </c>
    </row>
    <row r="17" spans="1:49" x14ac:dyDescent="0.25">
      <c r="A17" s="17" t="s">
        <v>5</v>
      </c>
      <c r="B17" s="17">
        <v>0.5</v>
      </c>
      <c r="C17" s="17">
        <v>2</v>
      </c>
      <c r="D17" s="17">
        <v>3</v>
      </c>
      <c r="U17" s="17">
        <v>1</v>
      </c>
    </row>
    <row r="18" spans="1:49" x14ac:dyDescent="0.25">
      <c r="A18" s="17" t="s">
        <v>4</v>
      </c>
      <c r="B18" s="17">
        <v>1</v>
      </c>
      <c r="C18" s="17">
        <v>3</v>
      </c>
      <c r="D18" s="17">
        <v>4</v>
      </c>
      <c r="Z18" s="17" t="s">
        <v>41</v>
      </c>
    </row>
    <row r="19" spans="1:49" x14ac:dyDescent="0.25">
      <c r="A19" s="17" t="s">
        <v>3</v>
      </c>
      <c r="B19" s="17">
        <v>0.75</v>
      </c>
      <c r="C19" s="17">
        <v>2</v>
      </c>
      <c r="D19" s="17">
        <v>2</v>
      </c>
      <c r="AG19" s="17">
        <v>0.125</v>
      </c>
      <c r="AK19" s="17">
        <v>0.25</v>
      </c>
      <c r="AT19" s="17">
        <v>0.5</v>
      </c>
      <c r="AV19" s="17">
        <v>1</v>
      </c>
      <c r="AW19" s="17">
        <v>1</v>
      </c>
    </row>
    <row r="20" spans="1:49" x14ac:dyDescent="0.25">
      <c r="A20" s="17" t="s">
        <v>2</v>
      </c>
      <c r="B20" s="17">
        <v>1</v>
      </c>
      <c r="C20" s="17">
        <v>2</v>
      </c>
      <c r="D20" s="17" t="s">
        <v>41</v>
      </c>
      <c r="AA20" s="17">
        <v>1</v>
      </c>
      <c r="AB20" s="17">
        <v>1</v>
      </c>
      <c r="AC20" s="17">
        <v>0.1</v>
      </c>
      <c r="AF20" s="17">
        <v>0.1</v>
      </c>
    </row>
    <row r="21" spans="1:49" x14ac:dyDescent="0.25">
      <c r="A21" s="17" t="s">
        <v>1</v>
      </c>
      <c r="B21" s="17">
        <v>0.5</v>
      </c>
      <c r="C21" s="17">
        <v>0</v>
      </c>
      <c r="D21" s="17">
        <v>0</v>
      </c>
      <c r="S21" s="17">
        <v>1</v>
      </c>
    </row>
    <row r="22" spans="1:49" x14ac:dyDescent="0.25">
      <c r="A22" s="17" t="s">
        <v>0</v>
      </c>
      <c r="B22" s="17">
        <v>0.5</v>
      </c>
      <c r="C22" s="17">
        <v>0</v>
      </c>
      <c r="D22" s="17">
        <v>1</v>
      </c>
      <c r="R22" s="17" t="s">
        <v>184</v>
      </c>
      <c r="T22" s="17">
        <v>2</v>
      </c>
      <c r="AJ22" s="17">
        <v>1</v>
      </c>
    </row>
    <row r="23" spans="1:49" x14ac:dyDescent="0.25">
      <c r="A23" s="17" t="s">
        <v>21</v>
      </c>
      <c r="B23" s="17">
        <v>0.25</v>
      </c>
      <c r="C23" s="17">
        <v>0</v>
      </c>
      <c r="D23" s="17">
        <v>0</v>
      </c>
      <c r="AE23" s="17">
        <v>1</v>
      </c>
      <c r="AI23" s="17">
        <v>1</v>
      </c>
      <c r="AJ23" s="17">
        <v>1</v>
      </c>
    </row>
    <row r="24" spans="1:49" x14ac:dyDescent="0.25">
      <c r="A24" s="17" t="s">
        <v>58</v>
      </c>
    </row>
    <row r="25" spans="1:49" x14ac:dyDescent="0.25">
      <c r="A25" s="17" t="s">
        <v>59</v>
      </c>
      <c r="B25" s="17">
        <v>0.5</v>
      </c>
      <c r="C25" s="17">
        <v>0</v>
      </c>
      <c r="D25" s="17">
        <v>2</v>
      </c>
    </row>
    <row r="26" spans="1:49" x14ac:dyDescent="0.25">
      <c r="A26" s="17" t="s">
        <v>133</v>
      </c>
      <c r="B26" s="17">
        <v>0.5</v>
      </c>
      <c r="C26" s="17">
        <v>0</v>
      </c>
      <c r="D26" s="17">
        <v>1</v>
      </c>
      <c r="Q26" s="17">
        <v>1</v>
      </c>
    </row>
    <row r="27" spans="1:49" x14ac:dyDescent="0.25">
      <c r="A27" s="17" t="s">
        <v>134</v>
      </c>
      <c r="O27" s="17">
        <v>1</v>
      </c>
      <c r="P27" s="17">
        <v>1</v>
      </c>
    </row>
    <row r="28" spans="1:49" x14ac:dyDescent="0.25">
      <c r="A28" s="17" t="s">
        <v>144</v>
      </c>
      <c r="M28" s="17">
        <v>1</v>
      </c>
      <c r="N28" s="17">
        <v>1</v>
      </c>
      <c r="AC28" s="17">
        <v>1</v>
      </c>
      <c r="AV28" s="17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9F6DB-5584-40F1-9DB7-AE52EBCA8F43}">
  <sheetPr codeName="Sheet3"/>
  <dimension ref="A1:E100"/>
  <sheetViews>
    <sheetView workbookViewId="0">
      <selection activeCell="A2" sqref="A2:A963"/>
    </sheetView>
  </sheetViews>
  <sheetFormatPr defaultRowHeight="15" x14ac:dyDescent="0.25"/>
  <cols>
    <col min="1" max="1" width="25.5703125" customWidth="1"/>
    <col min="2" max="2" width="27.140625" style="9" customWidth="1"/>
    <col min="3" max="3" width="35.140625" customWidth="1"/>
    <col min="4" max="5" width="9.7109375" bestFit="1" customWidth="1"/>
  </cols>
  <sheetData>
    <row r="1" spans="1:5" x14ac:dyDescent="0.25">
      <c r="A1" s="10" t="s">
        <v>45</v>
      </c>
      <c r="B1" s="7" t="s">
        <v>135</v>
      </c>
      <c r="C1" s="1" t="s">
        <v>143</v>
      </c>
      <c r="D1" s="8"/>
      <c r="E1" s="8"/>
    </row>
    <row r="2" spans="1:5" x14ac:dyDescent="0.25">
      <c r="A2" t="s">
        <v>17</v>
      </c>
      <c r="B2" s="9">
        <f>IF(A2="","",COUNTIF(Sandbox!B:B,'Shopping List'!A2))</f>
        <v>7</v>
      </c>
      <c r="C2" t="str">
        <f>IF(A2="","",CONCATENATE(B2, " - ",A2))</f>
        <v>7 - Egg</v>
      </c>
    </row>
    <row r="3" spans="1:5" x14ac:dyDescent="0.25">
      <c r="A3" t="s">
        <v>14</v>
      </c>
      <c r="B3" s="9">
        <f>IF(A3="","",COUNTIF(Sandbox!B:B,'Shopping List'!A3))</f>
        <v>7</v>
      </c>
      <c r="C3" t="str">
        <f t="shared" ref="C3:C66" si="0">IF(A3="","",CONCATENATE(B3, " - ",A3))</f>
        <v>7 - Ham Slice</v>
      </c>
    </row>
    <row r="4" spans="1:5" x14ac:dyDescent="0.25">
      <c r="A4" t="s">
        <v>13</v>
      </c>
      <c r="B4" s="9">
        <f>IF(A4="","",COUNTIF(Sandbox!B:B,'Shopping List'!A4))</f>
        <v>7</v>
      </c>
      <c r="C4" t="str">
        <f t="shared" si="0"/>
        <v>7 - Cheese</v>
      </c>
    </row>
    <row r="5" spans="1:5" x14ac:dyDescent="0.25">
      <c r="A5" t="s">
        <v>29</v>
      </c>
      <c r="B5" s="9">
        <f>IF(A5="","",COUNTIF(Sandbox!B:B,'Shopping List'!A5))</f>
        <v>7</v>
      </c>
      <c r="C5" t="str">
        <f t="shared" si="0"/>
        <v>7 - Pretzles (Cup)</v>
      </c>
    </row>
    <row r="6" spans="1:5" x14ac:dyDescent="0.25">
      <c r="A6" t="s">
        <v>37</v>
      </c>
      <c r="B6" s="9">
        <f>IF(A6="","",COUNTIF(Sandbox!B:B,'Shopping List'!A6))</f>
        <v>7</v>
      </c>
      <c r="C6" t="str">
        <f t="shared" si="0"/>
        <v>7 - Hummus (Cup)</v>
      </c>
    </row>
    <row r="7" spans="1:5" x14ac:dyDescent="0.25">
      <c r="A7" t="s">
        <v>38</v>
      </c>
      <c r="B7" s="9">
        <f>IF(A7="","",COUNTIF(Sandbox!B:B,'Shopping List'!A7))</f>
        <v>7</v>
      </c>
      <c r="C7" t="str">
        <f t="shared" si="0"/>
        <v>7 - Bag of Popcorn</v>
      </c>
    </row>
    <row r="8" spans="1:5" x14ac:dyDescent="0.25">
      <c r="A8" t="s">
        <v>31</v>
      </c>
      <c r="B8" s="9">
        <f>IF(A8="","",COUNTIF(Sandbox!B:B,'Shopping List'!A8))</f>
        <v>1</v>
      </c>
      <c r="C8" t="str">
        <f t="shared" si="0"/>
        <v>1 - Hamburger Bun</v>
      </c>
    </row>
    <row r="9" spans="1:5" x14ac:dyDescent="0.25">
      <c r="A9" t="s">
        <v>32</v>
      </c>
      <c r="B9" s="9">
        <f>IF(A9="","",COUNTIF(Sandbox!B:B,'Shopping List'!A9))</f>
        <v>1</v>
      </c>
      <c r="C9" t="str">
        <f t="shared" si="0"/>
        <v>1 - Beef Patty</v>
      </c>
    </row>
    <row r="10" spans="1:5" x14ac:dyDescent="0.25">
      <c r="A10" t="s">
        <v>33</v>
      </c>
      <c r="B10" s="9">
        <f>IF(A10="","",COUNTIF(Sandbox!B:B,'Shopping List'!A10))</f>
        <v>2</v>
      </c>
      <c r="C10" t="str">
        <f t="shared" si="0"/>
        <v>2 - Lettuce</v>
      </c>
    </row>
    <row r="11" spans="1:5" x14ac:dyDescent="0.25">
      <c r="A11" t="s">
        <v>16</v>
      </c>
      <c r="B11" s="9">
        <f>IF(A11="","",COUNTIF(Sandbox!B:B,'Shopping List'!A11))</f>
        <v>1</v>
      </c>
      <c r="C11" t="str">
        <f t="shared" si="0"/>
        <v>1 - Tomato</v>
      </c>
    </row>
    <row r="12" spans="1:5" x14ac:dyDescent="0.25">
      <c r="A12" t="s">
        <v>145</v>
      </c>
      <c r="B12" s="9">
        <f>IF(A12="","",COUNTIF(Sandbox!B:B,'Shopping List'!A12))</f>
        <v>1</v>
      </c>
      <c r="C12" t="str">
        <f t="shared" si="0"/>
        <v>1 - Hamburger Helper (Cheesy Enchilada)</v>
      </c>
    </row>
    <row r="13" spans="1:5" x14ac:dyDescent="0.25">
      <c r="A13" t="s">
        <v>146</v>
      </c>
      <c r="B13" s="9">
        <f>IF(A13="","",COUNTIF(Sandbox!B:B,'Shopping List'!A13))</f>
        <v>1</v>
      </c>
      <c r="C13" t="str">
        <f t="shared" si="0"/>
        <v>1 - Ground Beef</v>
      </c>
    </row>
    <row r="14" spans="1:5" x14ac:dyDescent="0.25">
      <c r="A14" t="s">
        <v>12</v>
      </c>
      <c r="B14" s="9">
        <f>IF(A14="","",COUNTIF(Sandbox!B:B,'Shopping List'!A14))</f>
        <v>2</v>
      </c>
      <c r="C14" t="str">
        <f t="shared" si="0"/>
        <v>2 - Tortilla Wraps</v>
      </c>
    </row>
    <row r="15" spans="1:5" x14ac:dyDescent="0.25">
      <c r="A15" t="s">
        <v>44</v>
      </c>
      <c r="B15" s="9">
        <f>IF(A15="","",COUNTIF(Sandbox!B:B,'Shopping List'!A15))</f>
        <v>1</v>
      </c>
      <c r="C15" t="str">
        <f t="shared" si="0"/>
        <v>1 - Frozen Pizza</v>
      </c>
    </row>
    <row r="16" spans="1:5" x14ac:dyDescent="0.25">
      <c r="A16" t="s">
        <v>15</v>
      </c>
      <c r="B16" s="9">
        <f>IF(A16="","",COUNTIF(Sandbox!B:B,'Shopping List'!A16))</f>
        <v>1</v>
      </c>
      <c r="C16" t="str">
        <f t="shared" si="0"/>
        <v>1 - Onion</v>
      </c>
    </row>
    <row r="17" spans="1:3" x14ac:dyDescent="0.25">
      <c r="A17" t="s">
        <v>30</v>
      </c>
      <c r="B17" s="9">
        <f>IF(A17="","",COUNTIF(Sandbox!B:B,'Shopping List'!A17))</f>
        <v>1</v>
      </c>
      <c r="C17" t="str">
        <f t="shared" si="0"/>
        <v>1 - Shredded Cheese (Cup)</v>
      </c>
    </row>
    <row r="18" spans="1:3" x14ac:dyDescent="0.25">
      <c r="A18" t="s">
        <v>34</v>
      </c>
      <c r="B18" s="9">
        <f>IF(A18="","",COUNTIF(Sandbox!B:B,'Shopping List'!A18))</f>
        <v>1</v>
      </c>
      <c r="C18" t="str">
        <f t="shared" si="0"/>
        <v>1 - Breaded Chicken</v>
      </c>
    </row>
    <row r="19" spans="1:3" x14ac:dyDescent="0.25">
      <c r="A19" t="s">
        <v>183</v>
      </c>
      <c r="B19" s="9">
        <f>IF(A19="","",COUNTIF(Sandbox!B:B,'Shopping List'!A19))</f>
        <v>1</v>
      </c>
      <c r="C19" t="str">
        <f t="shared" si="0"/>
        <v>1 - Spinnage leafs</v>
      </c>
    </row>
    <row r="20" spans="1:3" x14ac:dyDescent="0.25">
      <c r="A20" t="s">
        <v>40</v>
      </c>
      <c r="B20" s="9">
        <f>IF(A20="","",COUNTIF(Sandbox!B:B,'Shopping List'!A20))</f>
        <v>1</v>
      </c>
      <c r="C20" t="str">
        <f t="shared" si="0"/>
        <v>1 - Fries</v>
      </c>
    </row>
    <row r="21" spans="1:3" x14ac:dyDescent="0.25">
      <c r="A21" t="s">
        <v>43</v>
      </c>
      <c r="B21" s="9">
        <f>IF(A21="","",COUNTIF(Sandbox!B:B,'Shopping List'!A21))</f>
        <v>1</v>
      </c>
      <c r="C21" t="str">
        <f t="shared" si="0"/>
        <v>1 - Chicken Tenders</v>
      </c>
    </row>
    <row r="22" spans="1:3" x14ac:dyDescent="0.25">
      <c r="A22" t="s">
        <v>39</v>
      </c>
      <c r="B22" s="9">
        <f>IF(A22="","",COUNTIF(Sandbox!B:B,'Shopping List'!A22))</f>
        <v>1</v>
      </c>
      <c r="C22" t="str">
        <f t="shared" si="0"/>
        <v>1 - Roast</v>
      </c>
    </row>
    <row r="23" spans="1:3" x14ac:dyDescent="0.25">
      <c r="A23" t="s">
        <v>133</v>
      </c>
      <c r="B23" s="9">
        <f>IF(A23="","",COUNTIF(Sandbox!B:B,'Shopping List'!A23))</f>
        <v>1</v>
      </c>
      <c r="C23" t="str">
        <f t="shared" si="0"/>
        <v>1 - Taquitos</v>
      </c>
    </row>
    <row r="24" spans="1:3" x14ac:dyDescent="0.25">
      <c r="B24" s="9" t="str">
        <f>IF(A24="","",COUNTIF(Sandbox!B:B,'Shopping List'!A24))</f>
        <v/>
      </c>
      <c r="C24" t="str">
        <f t="shared" si="0"/>
        <v/>
      </c>
    </row>
    <row r="25" spans="1:3" x14ac:dyDescent="0.25">
      <c r="B25" s="9" t="str">
        <f>IF(A25="","",COUNTIF(Sandbox!B:B,'Shopping List'!A25))</f>
        <v/>
      </c>
      <c r="C25" t="str">
        <f t="shared" si="0"/>
        <v/>
      </c>
    </row>
    <row r="26" spans="1:3" x14ac:dyDescent="0.25">
      <c r="B26" s="9" t="str">
        <f>IF(A26="","",COUNTIF(Sandbox!B:B,'Shopping List'!A26))</f>
        <v/>
      </c>
      <c r="C26" t="str">
        <f t="shared" si="0"/>
        <v/>
      </c>
    </row>
    <row r="27" spans="1:3" x14ac:dyDescent="0.25">
      <c r="B27" s="9" t="str">
        <f>IF(A27="","",COUNTIF(Sandbox!B:B,'Shopping List'!A27))</f>
        <v/>
      </c>
      <c r="C27" t="str">
        <f t="shared" si="0"/>
        <v/>
      </c>
    </row>
    <row r="28" spans="1:3" x14ac:dyDescent="0.25">
      <c r="B28" s="9" t="str">
        <f>IF(A28="","",COUNTIF(Sandbox!B:B,'Shopping List'!A28))</f>
        <v/>
      </c>
      <c r="C28" t="str">
        <f t="shared" si="0"/>
        <v/>
      </c>
    </row>
    <row r="29" spans="1:3" x14ac:dyDescent="0.25">
      <c r="B29" s="9" t="str">
        <f>IF(A29="","",COUNTIF(Sandbox!B:B,'Shopping List'!A29))</f>
        <v/>
      </c>
      <c r="C29" t="str">
        <f t="shared" si="0"/>
        <v/>
      </c>
    </row>
    <row r="30" spans="1:3" x14ac:dyDescent="0.25">
      <c r="B30" s="9" t="str">
        <f>IF(A30="","",COUNTIF(Sandbox!B:B,'Shopping List'!A30))</f>
        <v/>
      </c>
      <c r="C30" t="str">
        <f t="shared" si="0"/>
        <v/>
      </c>
    </row>
    <row r="31" spans="1:3" x14ac:dyDescent="0.25">
      <c r="B31" s="9" t="str">
        <f>IF(A31="","",COUNTIF(Sandbox!B:B,'Shopping List'!A31))</f>
        <v/>
      </c>
      <c r="C31" t="str">
        <f t="shared" si="0"/>
        <v/>
      </c>
    </row>
    <row r="32" spans="1:3" x14ac:dyDescent="0.25">
      <c r="B32" s="9" t="str">
        <f>IF(A32="","",COUNTIF(Sandbox!B:B,'Shopping List'!A32))</f>
        <v/>
      </c>
      <c r="C32" t="str">
        <f t="shared" si="0"/>
        <v/>
      </c>
    </row>
    <row r="33" spans="2:3" x14ac:dyDescent="0.25">
      <c r="B33" s="9" t="str">
        <f>IF(A33="","",COUNTIF(Sandbox!B:B,'Shopping List'!A33))</f>
        <v/>
      </c>
      <c r="C33" t="str">
        <f t="shared" si="0"/>
        <v/>
      </c>
    </row>
    <row r="34" spans="2:3" x14ac:dyDescent="0.25">
      <c r="B34" s="9" t="str">
        <f>IF(A34="","",COUNTIF(Sandbox!B:B,'Shopping List'!A34))</f>
        <v/>
      </c>
      <c r="C34" t="str">
        <f t="shared" si="0"/>
        <v/>
      </c>
    </row>
    <row r="35" spans="2:3" x14ac:dyDescent="0.25">
      <c r="B35" s="9" t="str">
        <f>IF(A35="","",COUNTIF(Sandbox!B:B,'Shopping List'!A35))</f>
        <v/>
      </c>
      <c r="C35" t="str">
        <f t="shared" si="0"/>
        <v/>
      </c>
    </row>
    <row r="36" spans="2:3" x14ac:dyDescent="0.25">
      <c r="B36" s="9" t="str">
        <f>IF(A36="","",COUNTIF(Sandbox!B:B,'Shopping List'!A36))</f>
        <v/>
      </c>
      <c r="C36" t="str">
        <f t="shared" si="0"/>
        <v/>
      </c>
    </row>
    <row r="37" spans="2:3" x14ac:dyDescent="0.25">
      <c r="B37" s="9" t="str">
        <f>IF(A37="","",COUNTIF(Sandbox!B:B,'Shopping List'!A37))</f>
        <v/>
      </c>
      <c r="C37" t="str">
        <f t="shared" si="0"/>
        <v/>
      </c>
    </row>
    <row r="38" spans="2:3" x14ac:dyDescent="0.25">
      <c r="B38" s="9" t="str">
        <f>IF(A38="","",COUNTIF(Sandbox!B:B,'Shopping List'!A38))</f>
        <v/>
      </c>
      <c r="C38" t="str">
        <f t="shared" si="0"/>
        <v/>
      </c>
    </row>
    <row r="39" spans="2:3" x14ac:dyDescent="0.25">
      <c r="B39" s="9" t="str">
        <f>IF(A39="","",COUNTIF(Sandbox!B:B,'Shopping List'!A39))</f>
        <v/>
      </c>
      <c r="C39" t="str">
        <f t="shared" si="0"/>
        <v/>
      </c>
    </row>
    <row r="40" spans="2:3" x14ac:dyDescent="0.25">
      <c r="B40" s="9" t="str">
        <f>IF(A40="","",COUNTIF(Sandbox!B:B,'Shopping List'!A40))</f>
        <v/>
      </c>
      <c r="C40" t="str">
        <f t="shared" si="0"/>
        <v/>
      </c>
    </row>
    <row r="41" spans="2:3" x14ac:dyDescent="0.25">
      <c r="B41" s="9" t="str">
        <f>IF(A41="","",COUNTIF(Sandbox!B:B,'Shopping List'!A41))</f>
        <v/>
      </c>
      <c r="C41" t="str">
        <f t="shared" si="0"/>
        <v/>
      </c>
    </row>
    <row r="42" spans="2:3" x14ac:dyDescent="0.25">
      <c r="B42" s="9" t="str">
        <f>IF(A42="","",COUNTIF(Sandbox!B:B,'Shopping List'!A42))</f>
        <v/>
      </c>
      <c r="C42" t="str">
        <f t="shared" si="0"/>
        <v/>
      </c>
    </row>
    <row r="43" spans="2:3" x14ac:dyDescent="0.25">
      <c r="B43" s="9" t="str">
        <f>IF(A43="","",COUNTIF(Sandbox!B:B,'Shopping List'!A43))</f>
        <v/>
      </c>
      <c r="C43" t="str">
        <f t="shared" si="0"/>
        <v/>
      </c>
    </row>
    <row r="44" spans="2:3" x14ac:dyDescent="0.25">
      <c r="B44" s="9" t="str">
        <f>IF(A44="","",COUNTIF(Sandbox!B:B,'Shopping List'!A44))</f>
        <v/>
      </c>
      <c r="C44" t="str">
        <f t="shared" si="0"/>
        <v/>
      </c>
    </row>
    <row r="45" spans="2:3" x14ac:dyDescent="0.25">
      <c r="B45" s="9" t="str">
        <f>IF(A45="","",COUNTIF(Sandbox!B:B,'Shopping List'!A45))</f>
        <v/>
      </c>
      <c r="C45" t="str">
        <f t="shared" si="0"/>
        <v/>
      </c>
    </row>
    <row r="46" spans="2:3" x14ac:dyDescent="0.25">
      <c r="B46" s="9" t="str">
        <f>IF(A46="","",COUNTIF(Sandbox!B:B,'Shopping List'!A46))</f>
        <v/>
      </c>
      <c r="C46" t="str">
        <f t="shared" si="0"/>
        <v/>
      </c>
    </row>
    <row r="47" spans="2:3" x14ac:dyDescent="0.25">
      <c r="B47" s="9" t="str">
        <f>IF(A47="","",COUNTIF(Sandbox!B:B,'Shopping List'!A47))</f>
        <v/>
      </c>
      <c r="C47" t="str">
        <f t="shared" si="0"/>
        <v/>
      </c>
    </row>
    <row r="48" spans="2:3" x14ac:dyDescent="0.25">
      <c r="B48" s="9" t="str">
        <f>IF(A48="","",COUNTIF(Sandbox!B:B,'Shopping List'!A48))</f>
        <v/>
      </c>
      <c r="C48" t="str">
        <f t="shared" si="0"/>
        <v/>
      </c>
    </row>
    <row r="49" spans="2:3" x14ac:dyDescent="0.25">
      <c r="B49" s="9" t="str">
        <f>IF(A49="","",COUNTIF(Sandbox!B:B,'Shopping List'!A49))</f>
        <v/>
      </c>
      <c r="C49" t="str">
        <f t="shared" si="0"/>
        <v/>
      </c>
    </row>
    <row r="50" spans="2:3" x14ac:dyDescent="0.25">
      <c r="B50" s="9" t="str">
        <f>IF(A50="","",COUNTIF(Sandbox!B:B,'Shopping List'!A50))</f>
        <v/>
      </c>
      <c r="C50" t="str">
        <f t="shared" si="0"/>
        <v/>
      </c>
    </row>
    <row r="51" spans="2:3" x14ac:dyDescent="0.25">
      <c r="B51" s="9" t="str">
        <f>IF(A51="","",COUNTIF(Sandbox!B:B,'Shopping List'!A51))</f>
        <v/>
      </c>
      <c r="C51" t="str">
        <f t="shared" si="0"/>
        <v/>
      </c>
    </row>
    <row r="52" spans="2:3" x14ac:dyDescent="0.25">
      <c r="B52" s="9" t="str">
        <f>IF(A52="","",COUNTIF(Sandbox!B:B,'Shopping List'!A52))</f>
        <v/>
      </c>
      <c r="C52" t="str">
        <f t="shared" si="0"/>
        <v/>
      </c>
    </row>
    <row r="53" spans="2:3" x14ac:dyDescent="0.25">
      <c r="B53" s="9" t="str">
        <f>IF(A53="","",COUNTIF(Sandbox!B:B,'Shopping List'!A53))</f>
        <v/>
      </c>
      <c r="C53" t="str">
        <f t="shared" si="0"/>
        <v/>
      </c>
    </row>
    <row r="54" spans="2:3" x14ac:dyDescent="0.25">
      <c r="B54" s="9" t="str">
        <f>IF(A54="","",COUNTIF(Sandbox!B:B,'Shopping List'!A54))</f>
        <v/>
      </c>
      <c r="C54" t="str">
        <f t="shared" si="0"/>
        <v/>
      </c>
    </row>
    <row r="55" spans="2:3" x14ac:dyDescent="0.25">
      <c r="B55" s="9" t="str">
        <f>IF(A55="","",COUNTIF(Sandbox!B:B,'Shopping List'!A55))</f>
        <v/>
      </c>
      <c r="C55" t="str">
        <f t="shared" si="0"/>
        <v/>
      </c>
    </row>
    <row r="56" spans="2:3" x14ac:dyDescent="0.25">
      <c r="B56" s="9" t="str">
        <f>IF(A56="","",COUNTIF(Sandbox!B:B,'Shopping List'!A56))</f>
        <v/>
      </c>
      <c r="C56" t="str">
        <f t="shared" si="0"/>
        <v/>
      </c>
    </row>
    <row r="57" spans="2:3" x14ac:dyDescent="0.25">
      <c r="B57" s="9" t="str">
        <f>IF(A57="","",COUNTIF(Sandbox!B:B,'Shopping List'!A57))</f>
        <v/>
      </c>
      <c r="C57" t="str">
        <f t="shared" si="0"/>
        <v/>
      </c>
    </row>
    <row r="58" spans="2:3" x14ac:dyDescent="0.25">
      <c r="B58" s="9" t="str">
        <f>IF(A58="","",COUNTIF(Sandbox!B:B,'Shopping List'!A58))</f>
        <v/>
      </c>
      <c r="C58" t="str">
        <f t="shared" si="0"/>
        <v/>
      </c>
    </row>
    <row r="59" spans="2:3" x14ac:dyDescent="0.25">
      <c r="B59" s="9" t="str">
        <f>IF(A59="","",COUNTIF(Sandbox!B:B,'Shopping List'!A59))</f>
        <v/>
      </c>
      <c r="C59" t="str">
        <f t="shared" si="0"/>
        <v/>
      </c>
    </row>
    <row r="60" spans="2:3" x14ac:dyDescent="0.25">
      <c r="B60" s="9" t="str">
        <f>IF(A60="","",COUNTIF(Sandbox!B:B,'Shopping List'!A60))</f>
        <v/>
      </c>
      <c r="C60" t="str">
        <f t="shared" si="0"/>
        <v/>
      </c>
    </row>
    <row r="61" spans="2:3" x14ac:dyDescent="0.25">
      <c r="B61" s="9" t="str">
        <f>IF(A61="","",COUNTIF(Sandbox!B:B,'Shopping List'!A61))</f>
        <v/>
      </c>
      <c r="C61" t="str">
        <f t="shared" si="0"/>
        <v/>
      </c>
    </row>
    <row r="62" spans="2:3" x14ac:dyDescent="0.25">
      <c r="B62" s="9" t="str">
        <f>IF(A62="","",COUNTIF(Sandbox!B:B,'Shopping List'!A62))</f>
        <v/>
      </c>
      <c r="C62" t="str">
        <f t="shared" si="0"/>
        <v/>
      </c>
    </row>
    <row r="63" spans="2:3" x14ac:dyDescent="0.25">
      <c r="B63" s="9" t="str">
        <f>IF(A63="","",COUNTIF(Sandbox!B:B,'Shopping List'!A63))</f>
        <v/>
      </c>
      <c r="C63" t="str">
        <f t="shared" si="0"/>
        <v/>
      </c>
    </row>
    <row r="64" spans="2:3" x14ac:dyDescent="0.25">
      <c r="B64" s="9" t="str">
        <f>IF(A64="","",COUNTIF(Sandbox!B:B,'Shopping List'!A64))</f>
        <v/>
      </c>
      <c r="C64" t="str">
        <f t="shared" si="0"/>
        <v/>
      </c>
    </row>
    <row r="65" spans="2:3" x14ac:dyDescent="0.25">
      <c r="B65" s="9" t="str">
        <f>IF(A65="","",COUNTIF(Sandbox!B:B,'Shopping List'!A65))</f>
        <v/>
      </c>
      <c r="C65" t="str">
        <f t="shared" si="0"/>
        <v/>
      </c>
    </row>
    <row r="66" spans="2:3" x14ac:dyDescent="0.25">
      <c r="B66" s="9" t="str">
        <f>IF(A66="","",COUNTIF(Sandbox!B:B,'Shopping List'!A66))</f>
        <v/>
      </c>
      <c r="C66" t="str">
        <f t="shared" si="0"/>
        <v/>
      </c>
    </row>
    <row r="67" spans="2:3" x14ac:dyDescent="0.25">
      <c r="B67" s="9" t="str">
        <f>IF(A67="","",COUNTIF(Sandbox!B:B,'Shopping List'!A67))</f>
        <v/>
      </c>
      <c r="C67" t="str">
        <f t="shared" ref="C67:C100" si="1">IF(A67="","",CONCATENATE(B67, " - ",A67))</f>
        <v/>
      </c>
    </row>
    <row r="68" spans="2:3" x14ac:dyDescent="0.25">
      <c r="B68" s="9" t="str">
        <f>IF(A68="","",COUNTIF(Sandbox!B:B,'Shopping List'!A68))</f>
        <v/>
      </c>
      <c r="C68" t="str">
        <f t="shared" si="1"/>
        <v/>
      </c>
    </row>
    <row r="69" spans="2:3" x14ac:dyDescent="0.25">
      <c r="B69" s="9" t="str">
        <f>IF(A69="","",COUNTIF(Sandbox!B:B,'Shopping List'!A69))</f>
        <v/>
      </c>
      <c r="C69" t="str">
        <f t="shared" si="1"/>
        <v/>
      </c>
    </row>
    <row r="70" spans="2:3" x14ac:dyDescent="0.25">
      <c r="B70" s="9" t="str">
        <f>IF(A70="","",COUNTIF(Sandbox!B:B,'Shopping List'!A70))</f>
        <v/>
      </c>
      <c r="C70" t="str">
        <f t="shared" si="1"/>
        <v/>
      </c>
    </row>
    <row r="71" spans="2:3" x14ac:dyDescent="0.25">
      <c r="B71" s="9" t="str">
        <f>IF(A71="","",COUNTIF(Sandbox!B:B,'Shopping List'!A71))</f>
        <v/>
      </c>
      <c r="C71" t="str">
        <f t="shared" si="1"/>
        <v/>
      </c>
    </row>
    <row r="72" spans="2:3" x14ac:dyDescent="0.25">
      <c r="B72" s="9" t="str">
        <f>IF(A72="","",COUNTIF(Sandbox!B:B,'Shopping List'!A72))</f>
        <v/>
      </c>
      <c r="C72" t="str">
        <f t="shared" si="1"/>
        <v/>
      </c>
    </row>
    <row r="73" spans="2:3" x14ac:dyDescent="0.25">
      <c r="B73" s="9" t="str">
        <f>IF(A73="","",COUNTIF(Sandbox!B:B,'Shopping List'!A73))</f>
        <v/>
      </c>
      <c r="C73" t="str">
        <f t="shared" si="1"/>
        <v/>
      </c>
    </row>
    <row r="74" spans="2:3" x14ac:dyDescent="0.25">
      <c r="B74" s="9" t="str">
        <f>IF(A74="","",COUNTIF(Sandbox!B:B,'Shopping List'!A74))</f>
        <v/>
      </c>
      <c r="C74" t="str">
        <f t="shared" si="1"/>
        <v/>
      </c>
    </row>
    <row r="75" spans="2:3" x14ac:dyDescent="0.25">
      <c r="B75" s="9" t="str">
        <f>IF(A75="","",COUNTIF(Sandbox!B:B,'Shopping List'!A75))</f>
        <v/>
      </c>
      <c r="C75" t="str">
        <f t="shared" si="1"/>
        <v/>
      </c>
    </row>
    <row r="76" spans="2:3" x14ac:dyDescent="0.25">
      <c r="B76" s="9" t="str">
        <f>IF(A76="","",COUNTIF(Sandbox!B:B,'Shopping List'!A76))</f>
        <v/>
      </c>
      <c r="C76" t="str">
        <f t="shared" si="1"/>
        <v/>
      </c>
    </row>
    <row r="77" spans="2:3" x14ac:dyDescent="0.25">
      <c r="B77" s="9" t="str">
        <f>IF(A77="","",COUNTIF(Sandbox!B:B,'Shopping List'!A77))</f>
        <v/>
      </c>
      <c r="C77" t="str">
        <f t="shared" si="1"/>
        <v/>
      </c>
    </row>
    <row r="78" spans="2:3" x14ac:dyDescent="0.25">
      <c r="B78" s="9" t="str">
        <f>IF(A78="","",COUNTIF(Sandbox!B:B,'Shopping List'!A78))</f>
        <v/>
      </c>
      <c r="C78" t="str">
        <f t="shared" si="1"/>
        <v/>
      </c>
    </row>
    <row r="79" spans="2:3" x14ac:dyDescent="0.25">
      <c r="B79" s="9" t="str">
        <f>IF(A79="","",COUNTIF(Sandbox!B:B,'Shopping List'!A79))</f>
        <v/>
      </c>
      <c r="C79" t="str">
        <f t="shared" si="1"/>
        <v/>
      </c>
    </row>
    <row r="80" spans="2:3" x14ac:dyDescent="0.25">
      <c r="B80" s="9" t="str">
        <f>IF(A80="","",COUNTIF(Sandbox!B:B,'Shopping List'!A80))</f>
        <v/>
      </c>
      <c r="C80" t="str">
        <f t="shared" si="1"/>
        <v/>
      </c>
    </row>
    <row r="81" spans="2:3" x14ac:dyDescent="0.25">
      <c r="B81" s="9" t="str">
        <f>IF(A81="","",COUNTIF(Sandbox!B:B,'Shopping List'!A81))</f>
        <v/>
      </c>
      <c r="C81" t="str">
        <f t="shared" si="1"/>
        <v/>
      </c>
    </row>
    <row r="82" spans="2:3" x14ac:dyDescent="0.25">
      <c r="B82" s="9" t="str">
        <f>IF(A82="","",COUNTIF(Sandbox!B:B,'Shopping List'!A82))</f>
        <v/>
      </c>
      <c r="C82" t="str">
        <f t="shared" si="1"/>
        <v/>
      </c>
    </row>
    <row r="83" spans="2:3" x14ac:dyDescent="0.25">
      <c r="B83" s="9" t="str">
        <f>IF(A83="","",COUNTIF(Sandbox!B:B,'Shopping List'!A83))</f>
        <v/>
      </c>
      <c r="C83" t="str">
        <f t="shared" si="1"/>
        <v/>
      </c>
    </row>
    <row r="84" spans="2:3" x14ac:dyDescent="0.25">
      <c r="B84" s="9" t="str">
        <f>IF(A84="","",COUNTIF(Sandbox!B:B,'Shopping List'!A84))</f>
        <v/>
      </c>
      <c r="C84" t="str">
        <f t="shared" si="1"/>
        <v/>
      </c>
    </row>
    <row r="85" spans="2:3" x14ac:dyDescent="0.25">
      <c r="B85" s="9" t="str">
        <f>IF(A85="","",COUNTIF(Sandbox!B:B,'Shopping List'!A85))</f>
        <v/>
      </c>
      <c r="C85" t="str">
        <f t="shared" si="1"/>
        <v/>
      </c>
    </row>
    <row r="86" spans="2:3" x14ac:dyDescent="0.25">
      <c r="B86" s="9" t="str">
        <f>IF(A86="","",COUNTIF(Sandbox!B:B,'Shopping List'!A86))</f>
        <v/>
      </c>
      <c r="C86" t="str">
        <f t="shared" si="1"/>
        <v/>
      </c>
    </row>
    <row r="87" spans="2:3" x14ac:dyDescent="0.25">
      <c r="B87" s="9" t="str">
        <f>IF(A87="","",COUNTIF(Sandbox!B:B,'Shopping List'!A87))</f>
        <v/>
      </c>
      <c r="C87" t="str">
        <f t="shared" si="1"/>
        <v/>
      </c>
    </row>
    <row r="88" spans="2:3" x14ac:dyDescent="0.25">
      <c r="B88" s="9" t="str">
        <f>IF(A88="","",COUNTIF(Sandbox!B:B,'Shopping List'!A88))</f>
        <v/>
      </c>
      <c r="C88" t="str">
        <f t="shared" si="1"/>
        <v/>
      </c>
    </row>
    <row r="89" spans="2:3" x14ac:dyDescent="0.25">
      <c r="B89" s="9" t="str">
        <f>IF(A89="","",COUNTIF(Sandbox!B:B,'Shopping List'!A89))</f>
        <v/>
      </c>
      <c r="C89" t="str">
        <f t="shared" si="1"/>
        <v/>
      </c>
    </row>
    <row r="90" spans="2:3" x14ac:dyDescent="0.25">
      <c r="B90" s="9" t="str">
        <f>IF(A90="","",COUNTIF(Sandbox!B:B,'Shopping List'!A90))</f>
        <v/>
      </c>
      <c r="C90" t="str">
        <f t="shared" si="1"/>
        <v/>
      </c>
    </row>
    <row r="91" spans="2:3" x14ac:dyDescent="0.25">
      <c r="B91" s="9" t="str">
        <f>IF(A91="","",COUNTIF(Sandbox!B:B,'Shopping List'!A91))</f>
        <v/>
      </c>
      <c r="C91" t="str">
        <f t="shared" si="1"/>
        <v/>
      </c>
    </row>
    <row r="92" spans="2:3" x14ac:dyDescent="0.25">
      <c r="B92" s="9" t="str">
        <f>IF(A92="","",COUNTIF(Sandbox!B:B,'Shopping List'!A92))</f>
        <v/>
      </c>
      <c r="C92" t="str">
        <f t="shared" si="1"/>
        <v/>
      </c>
    </row>
    <row r="93" spans="2:3" x14ac:dyDescent="0.25">
      <c r="B93" s="9" t="str">
        <f>IF(A93="","",COUNTIF(Sandbox!B:B,'Shopping List'!A93))</f>
        <v/>
      </c>
      <c r="C93" t="str">
        <f t="shared" si="1"/>
        <v/>
      </c>
    </row>
    <row r="94" spans="2:3" x14ac:dyDescent="0.25">
      <c r="B94" s="9" t="str">
        <f>IF(A94="","",COUNTIF(Sandbox!B:B,'Shopping List'!A94))</f>
        <v/>
      </c>
      <c r="C94" t="str">
        <f t="shared" si="1"/>
        <v/>
      </c>
    </row>
    <row r="95" spans="2:3" x14ac:dyDescent="0.25">
      <c r="B95" s="9" t="str">
        <f>IF(A95="","",COUNTIF(Sandbox!B:B,'Shopping List'!A95))</f>
        <v/>
      </c>
      <c r="C95" t="str">
        <f t="shared" si="1"/>
        <v/>
      </c>
    </row>
    <row r="96" spans="2:3" x14ac:dyDescent="0.25">
      <c r="B96" s="9" t="str">
        <f>IF(A96="","",COUNTIF(Sandbox!B:B,'Shopping List'!A96))</f>
        <v/>
      </c>
      <c r="C96" t="str">
        <f t="shared" si="1"/>
        <v/>
      </c>
    </row>
    <row r="97" spans="2:3" x14ac:dyDescent="0.25">
      <c r="B97" s="9" t="str">
        <f>IF(A97="","",COUNTIF(Sandbox!B:B,'Shopping List'!A97))</f>
        <v/>
      </c>
      <c r="C97" t="str">
        <f t="shared" si="1"/>
        <v/>
      </c>
    </row>
    <row r="98" spans="2:3" x14ac:dyDescent="0.25">
      <c r="B98" s="9" t="str">
        <f>IF(A98="","",COUNTIF(Sandbox!B:B,'Shopping List'!A98))</f>
        <v/>
      </c>
      <c r="C98" t="str">
        <f t="shared" si="1"/>
        <v/>
      </c>
    </row>
    <row r="99" spans="2:3" x14ac:dyDescent="0.25">
      <c r="B99" s="9" t="str">
        <f>IF(A99="","",COUNTIF(Sandbox!B:B,'Shopping List'!A99))</f>
        <v/>
      </c>
      <c r="C99" t="str">
        <f t="shared" si="1"/>
        <v/>
      </c>
    </row>
    <row r="100" spans="2:3" x14ac:dyDescent="0.25">
      <c r="B100" s="9" t="str">
        <f>IF(A100="","",COUNTIF(Sandbox!B:B,'Shopping List'!A100))</f>
        <v/>
      </c>
      <c r="C100" t="str">
        <f t="shared" si="1"/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0A532-6288-4CF4-AA63-EDA9D964920E}">
  <sheetPr codeName="Sheet1"/>
  <dimension ref="A1:O36"/>
  <sheetViews>
    <sheetView topLeftCell="A28" zoomScale="101" workbookViewId="0">
      <selection activeCell="L17" sqref="L17"/>
    </sheetView>
  </sheetViews>
  <sheetFormatPr defaultRowHeight="15" x14ac:dyDescent="0.25"/>
  <cols>
    <col min="1" max="1" width="13" customWidth="1"/>
    <col min="2" max="2" width="43.42578125" customWidth="1"/>
    <col min="9" max="9" width="26.7109375" customWidth="1"/>
  </cols>
  <sheetData>
    <row r="1" spans="1:15" x14ac:dyDescent="0.25">
      <c r="A1" s="1" t="s">
        <v>23</v>
      </c>
      <c r="B1" s="1" t="s">
        <v>24</v>
      </c>
      <c r="I1" s="1" t="s">
        <v>95</v>
      </c>
      <c r="J1" s="1" t="s">
        <v>97</v>
      </c>
      <c r="O1" s="1" t="s">
        <v>139</v>
      </c>
    </row>
    <row r="2" spans="1:15" x14ac:dyDescent="0.25">
      <c r="A2" t="s">
        <v>20</v>
      </c>
      <c r="B2" t="s">
        <v>25</v>
      </c>
      <c r="I2" t="s">
        <v>60</v>
      </c>
      <c r="J2" t="s">
        <v>98</v>
      </c>
    </row>
    <row r="3" spans="1:15" x14ac:dyDescent="0.25">
      <c r="A3" t="s">
        <v>19</v>
      </c>
      <c r="B3" t="s">
        <v>26</v>
      </c>
      <c r="I3" t="s">
        <v>61</v>
      </c>
      <c r="J3" t="s">
        <v>99</v>
      </c>
      <c r="O3" t="s">
        <v>140</v>
      </c>
    </row>
    <row r="4" spans="1:15" x14ac:dyDescent="0.25">
      <c r="A4" t="s">
        <v>18</v>
      </c>
      <c r="B4" t="s">
        <v>27</v>
      </c>
      <c r="I4" t="s">
        <v>62</v>
      </c>
      <c r="J4" t="s">
        <v>100</v>
      </c>
      <c r="O4" t="s">
        <v>141</v>
      </c>
    </row>
    <row r="5" spans="1:15" x14ac:dyDescent="0.25">
      <c r="A5" t="s">
        <v>22</v>
      </c>
      <c r="B5" t="s">
        <v>28</v>
      </c>
      <c r="I5" t="s">
        <v>63</v>
      </c>
      <c r="J5" t="s">
        <v>101</v>
      </c>
      <c r="O5" t="s">
        <v>142</v>
      </c>
    </row>
    <row r="6" spans="1:15" x14ac:dyDescent="0.25">
      <c r="A6" t="s">
        <v>41</v>
      </c>
      <c r="B6" t="s">
        <v>42</v>
      </c>
      <c r="I6" t="s">
        <v>64</v>
      </c>
      <c r="J6" t="s">
        <v>102</v>
      </c>
    </row>
    <row r="7" spans="1:15" x14ac:dyDescent="0.25">
      <c r="I7" t="s">
        <v>65</v>
      </c>
      <c r="J7" t="s">
        <v>103</v>
      </c>
      <c r="O7" t="s">
        <v>147</v>
      </c>
    </row>
    <row r="8" spans="1:15" x14ac:dyDescent="0.25">
      <c r="I8" t="s">
        <v>96</v>
      </c>
      <c r="J8" t="s">
        <v>104</v>
      </c>
    </row>
    <row r="9" spans="1:15" x14ac:dyDescent="0.25">
      <c r="I9" t="s">
        <v>66</v>
      </c>
      <c r="J9" t="s">
        <v>105</v>
      </c>
    </row>
    <row r="10" spans="1:15" x14ac:dyDescent="0.25">
      <c r="A10" s="2" t="s">
        <v>186</v>
      </c>
      <c r="B10" s="2" t="s">
        <v>195</v>
      </c>
      <c r="I10" t="s">
        <v>67</v>
      </c>
      <c r="J10" t="s">
        <v>106</v>
      </c>
    </row>
    <row r="11" spans="1:15" x14ac:dyDescent="0.25">
      <c r="A11" s="2" t="s">
        <v>197</v>
      </c>
      <c r="B11" s="2" t="s">
        <v>9</v>
      </c>
      <c r="I11" t="s">
        <v>68</v>
      </c>
      <c r="J11" t="s">
        <v>107</v>
      </c>
    </row>
    <row r="12" spans="1:15" x14ac:dyDescent="0.25">
      <c r="I12" t="s">
        <v>69</v>
      </c>
      <c r="J12" t="s">
        <v>108</v>
      </c>
    </row>
    <row r="13" spans="1:15" x14ac:dyDescent="0.25">
      <c r="I13" t="s">
        <v>70</v>
      </c>
      <c r="J13" t="s">
        <v>109</v>
      </c>
    </row>
    <row r="14" spans="1:15" x14ac:dyDescent="0.25">
      <c r="I14" t="s">
        <v>71</v>
      </c>
      <c r="J14" t="s">
        <v>110</v>
      </c>
    </row>
    <row r="15" spans="1:15" x14ac:dyDescent="0.25">
      <c r="I15" t="s">
        <v>72</v>
      </c>
      <c r="J15" t="s">
        <v>111</v>
      </c>
    </row>
    <row r="16" spans="1:15" x14ac:dyDescent="0.25">
      <c r="I16" t="s">
        <v>73</v>
      </c>
      <c r="J16" t="s">
        <v>112</v>
      </c>
    </row>
    <row r="17" spans="9:10" x14ac:dyDescent="0.25">
      <c r="I17" t="s">
        <v>74</v>
      </c>
      <c r="J17" t="s">
        <v>113</v>
      </c>
    </row>
    <row r="18" spans="9:10" x14ac:dyDescent="0.25">
      <c r="I18" t="s">
        <v>75</v>
      </c>
      <c r="J18" t="s">
        <v>114</v>
      </c>
    </row>
    <row r="19" spans="9:10" x14ac:dyDescent="0.25">
      <c r="I19" t="s">
        <v>76</v>
      </c>
      <c r="J19" t="s">
        <v>115</v>
      </c>
    </row>
    <row r="20" spans="9:10" x14ac:dyDescent="0.25">
      <c r="I20" t="s">
        <v>77</v>
      </c>
      <c r="J20" t="s">
        <v>116</v>
      </c>
    </row>
    <row r="21" spans="9:10" x14ac:dyDescent="0.25">
      <c r="I21" t="s">
        <v>78</v>
      </c>
      <c r="J21" t="s">
        <v>117</v>
      </c>
    </row>
    <row r="22" spans="9:10" x14ac:dyDescent="0.25">
      <c r="I22" t="s">
        <v>79</v>
      </c>
      <c r="J22" t="s">
        <v>118</v>
      </c>
    </row>
    <row r="23" spans="9:10" x14ac:dyDescent="0.25">
      <c r="I23" t="s">
        <v>80</v>
      </c>
      <c r="J23" t="s">
        <v>119</v>
      </c>
    </row>
    <row r="24" spans="9:10" x14ac:dyDescent="0.25">
      <c r="I24" t="s">
        <v>81</v>
      </c>
      <c r="J24" t="s">
        <v>120</v>
      </c>
    </row>
    <row r="25" spans="9:10" x14ac:dyDescent="0.25">
      <c r="I25" t="s">
        <v>82</v>
      </c>
      <c r="J25" t="s">
        <v>121</v>
      </c>
    </row>
    <row r="26" spans="9:10" x14ac:dyDescent="0.25">
      <c r="I26" t="s">
        <v>83</v>
      </c>
      <c r="J26" t="s">
        <v>122</v>
      </c>
    </row>
    <row r="27" spans="9:10" x14ac:dyDescent="0.25">
      <c r="I27" t="s">
        <v>84</v>
      </c>
      <c r="J27" t="s">
        <v>123</v>
      </c>
    </row>
    <row r="28" spans="9:10" x14ac:dyDescent="0.25">
      <c r="I28" t="s">
        <v>85</v>
      </c>
      <c r="J28" t="s">
        <v>124</v>
      </c>
    </row>
    <row r="29" spans="9:10" x14ac:dyDescent="0.25">
      <c r="I29" t="s">
        <v>86</v>
      </c>
      <c r="J29" t="s">
        <v>125</v>
      </c>
    </row>
    <row r="30" spans="9:10" x14ac:dyDescent="0.25">
      <c r="I30" t="s">
        <v>88</v>
      </c>
      <c r="J30" t="s">
        <v>126</v>
      </c>
    </row>
    <row r="31" spans="9:10" x14ac:dyDescent="0.25">
      <c r="I31" t="s">
        <v>89</v>
      </c>
      <c r="J31" t="s">
        <v>127</v>
      </c>
    </row>
    <row r="32" spans="9:10" x14ac:dyDescent="0.25">
      <c r="I32" t="s">
        <v>90</v>
      </c>
      <c r="J32" t="s">
        <v>128</v>
      </c>
    </row>
    <row r="33" spans="9:10" x14ac:dyDescent="0.25">
      <c r="I33" t="s">
        <v>91</v>
      </c>
      <c r="J33" t="s">
        <v>129</v>
      </c>
    </row>
    <row r="34" spans="9:10" x14ac:dyDescent="0.25">
      <c r="I34" t="s">
        <v>92</v>
      </c>
      <c r="J34" t="s">
        <v>130</v>
      </c>
    </row>
    <row r="35" spans="9:10" x14ac:dyDescent="0.25">
      <c r="I35" t="s">
        <v>93</v>
      </c>
      <c r="J35" t="s">
        <v>131</v>
      </c>
    </row>
    <row r="36" spans="9:10" x14ac:dyDescent="0.25">
      <c r="I36" t="s">
        <v>94</v>
      </c>
      <c r="J36" t="s">
        <v>132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92EF-E3A3-47C7-9588-07B545E45EB4}">
  <sheetPr codeName="Sheet5"/>
  <dimension ref="A1:B60"/>
  <sheetViews>
    <sheetView topLeftCell="A16" workbookViewId="0">
      <selection activeCell="C17" sqref="C17"/>
    </sheetView>
  </sheetViews>
  <sheetFormatPr defaultRowHeight="15" x14ac:dyDescent="0.25"/>
  <sheetData>
    <row r="1" spans="1:2" x14ac:dyDescent="0.25">
      <c r="A1" t="s">
        <v>21</v>
      </c>
      <c r="B1" t="s">
        <v>17</v>
      </c>
    </row>
    <row r="2" spans="1:2" x14ac:dyDescent="0.25">
      <c r="A2" t="s">
        <v>21</v>
      </c>
      <c r="B2" t="s">
        <v>14</v>
      </c>
    </row>
    <row r="3" spans="1:2" x14ac:dyDescent="0.25">
      <c r="A3" t="s">
        <v>21</v>
      </c>
      <c r="B3" t="s">
        <v>13</v>
      </c>
    </row>
    <row r="4" spans="1:2" x14ac:dyDescent="0.25">
      <c r="A4" t="s">
        <v>21</v>
      </c>
      <c r="B4" t="s">
        <v>17</v>
      </c>
    </row>
    <row r="5" spans="1:2" x14ac:dyDescent="0.25">
      <c r="A5" t="s">
        <v>21</v>
      </c>
      <c r="B5" t="s">
        <v>14</v>
      </c>
    </row>
    <row r="6" spans="1:2" x14ac:dyDescent="0.25">
      <c r="A6" t="s">
        <v>21</v>
      </c>
      <c r="B6" t="s">
        <v>13</v>
      </c>
    </row>
    <row r="7" spans="1:2" x14ac:dyDescent="0.25">
      <c r="A7" t="s">
        <v>21</v>
      </c>
      <c r="B7" t="s">
        <v>17</v>
      </c>
    </row>
    <row r="8" spans="1:2" x14ac:dyDescent="0.25">
      <c r="A8" t="s">
        <v>10</v>
      </c>
      <c r="B8" t="s">
        <v>14</v>
      </c>
    </row>
    <row r="9" spans="1:2" x14ac:dyDescent="0.25">
      <c r="A9" t="s">
        <v>10</v>
      </c>
      <c r="B9" t="s">
        <v>13</v>
      </c>
    </row>
    <row r="10" spans="1:2" x14ac:dyDescent="0.25">
      <c r="A10" t="s">
        <v>10</v>
      </c>
      <c r="B10" t="s">
        <v>17</v>
      </c>
    </row>
    <row r="11" spans="1:2" x14ac:dyDescent="0.25">
      <c r="A11" t="s">
        <v>10</v>
      </c>
      <c r="B11" t="s">
        <v>14</v>
      </c>
    </row>
    <row r="12" spans="1:2" x14ac:dyDescent="0.25">
      <c r="A12" t="s">
        <v>10</v>
      </c>
      <c r="B12" t="s">
        <v>13</v>
      </c>
    </row>
    <row r="13" spans="1:2" x14ac:dyDescent="0.25">
      <c r="A13" t="s">
        <v>10</v>
      </c>
      <c r="B13" t="s">
        <v>17</v>
      </c>
    </row>
    <row r="14" spans="1:2" x14ac:dyDescent="0.25">
      <c r="A14" t="s">
        <v>10</v>
      </c>
      <c r="B14" t="s">
        <v>14</v>
      </c>
    </row>
    <row r="15" spans="1:2" x14ac:dyDescent="0.25">
      <c r="A15" t="s">
        <v>38</v>
      </c>
      <c r="B15" t="s">
        <v>13</v>
      </c>
    </row>
    <row r="16" spans="1:2" x14ac:dyDescent="0.25">
      <c r="A16" t="s">
        <v>38</v>
      </c>
      <c r="B16" t="s">
        <v>17</v>
      </c>
    </row>
    <row r="17" spans="1:2" x14ac:dyDescent="0.25">
      <c r="A17" t="s">
        <v>38</v>
      </c>
      <c r="B17" t="s">
        <v>14</v>
      </c>
    </row>
    <row r="18" spans="1:2" x14ac:dyDescent="0.25">
      <c r="A18" t="s">
        <v>38</v>
      </c>
      <c r="B18" t="s">
        <v>13</v>
      </c>
    </row>
    <row r="19" spans="1:2" x14ac:dyDescent="0.25">
      <c r="A19" t="s">
        <v>38</v>
      </c>
      <c r="B19" t="s">
        <v>17</v>
      </c>
    </row>
    <row r="20" spans="1:2" x14ac:dyDescent="0.25">
      <c r="A20" t="s">
        <v>38</v>
      </c>
      <c r="B20" t="s">
        <v>14</v>
      </c>
    </row>
    <row r="21" spans="1:2" x14ac:dyDescent="0.25">
      <c r="A21" t="s">
        <v>38</v>
      </c>
      <c r="B21" t="s">
        <v>13</v>
      </c>
    </row>
    <row r="22" spans="1:2" x14ac:dyDescent="0.25">
      <c r="A22" t="s">
        <v>2</v>
      </c>
      <c r="B22" t="s">
        <v>29</v>
      </c>
    </row>
    <row r="23" spans="1:2" x14ac:dyDescent="0.25">
      <c r="A23" t="s">
        <v>144</v>
      </c>
      <c r="B23" t="s">
        <v>37</v>
      </c>
    </row>
    <row r="24" spans="1:2" x14ac:dyDescent="0.25">
      <c r="A24" t="s">
        <v>5</v>
      </c>
      <c r="B24" t="s">
        <v>29</v>
      </c>
    </row>
    <row r="25" spans="1:2" x14ac:dyDescent="0.25">
      <c r="A25" t="s">
        <v>3</v>
      </c>
      <c r="B25" t="s">
        <v>37</v>
      </c>
    </row>
    <row r="26" spans="1:2" x14ac:dyDescent="0.25">
      <c r="A26" t="s">
        <v>8</v>
      </c>
      <c r="B26" t="s">
        <v>29</v>
      </c>
    </row>
    <row r="27" spans="1:2" x14ac:dyDescent="0.25">
      <c r="A27" t="s">
        <v>9</v>
      </c>
      <c r="B27" t="s">
        <v>37</v>
      </c>
    </row>
    <row r="28" spans="1:2" x14ac:dyDescent="0.25">
      <c r="A28" t="s">
        <v>133</v>
      </c>
      <c r="B28" t="s">
        <v>29</v>
      </c>
    </row>
    <row r="29" spans="1:2" x14ac:dyDescent="0.25">
      <c r="A29" t="s">
        <v>58</v>
      </c>
      <c r="B29" t="s">
        <v>37</v>
      </c>
    </row>
    <row r="30" spans="1:2" x14ac:dyDescent="0.25">
      <c r="A30" t="s">
        <v>58</v>
      </c>
      <c r="B30" t="s">
        <v>29</v>
      </c>
    </row>
    <row r="31" spans="1:2" x14ac:dyDescent="0.25">
      <c r="A31" t="s">
        <v>58</v>
      </c>
      <c r="B31" t="s">
        <v>37</v>
      </c>
    </row>
    <row r="32" spans="1:2" x14ac:dyDescent="0.25">
      <c r="A32" t="s">
        <v>58</v>
      </c>
      <c r="B32" t="s">
        <v>29</v>
      </c>
    </row>
    <row r="33" spans="1:2" x14ac:dyDescent="0.25">
      <c r="A33" t="s">
        <v>58</v>
      </c>
      <c r="B33" t="s">
        <v>37</v>
      </c>
    </row>
    <row r="34" spans="1:2" x14ac:dyDescent="0.25">
      <c r="A34" t="s">
        <v>58</v>
      </c>
      <c r="B34" t="s">
        <v>29</v>
      </c>
    </row>
    <row r="35" spans="1:2" x14ac:dyDescent="0.25">
      <c r="A35" t="s">
        <v>58</v>
      </c>
      <c r="B35" t="s">
        <v>37</v>
      </c>
    </row>
    <row r="36" spans="1:2" x14ac:dyDescent="0.25">
      <c r="B36" t="s">
        <v>38</v>
      </c>
    </row>
    <row r="37" spans="1:2" x14ac:dyDescent="0.25">
      <c r="B37" t="s">
        <v>38</v>
      </c>
    </row>
    <row r="38" spans="1:2" x14ac:dyDescent="0.25">
      <c r="B38" t="s">
        <v>38</v>
      </c>
    </row>
    <row r="39" spans="1:2" x14ac:dyDescent="0.25">
      <c r="B39" t="s">
        <v>38</v>
      </c>
    </row>
    <row r="40" spans="1:2" x14ac:dyDescent="0.25">
      <c r="B40" t="s">
        <v>38</v>
      </c>
    </row>
    <row r="41" spans="1:2" x14ac:dyDescent="0.25">
      <c r="B41" t="s">
        <v>38</v>
      </c>
    </row>
    <row r="42" spans="1:2" x14ac:dyDescent="0.25">
      <c r="B42" t="s">
        <v>38</v>
      </c>
    </row>
    <row r="43" spans="1:2" x14ac:dyDescent="0.25">
      <c r="B43" t="s">
        <v>31</v>
      </c>
    </row>
    <row r="44" spans="1:2" x14ac:dyDescent="0.25">
      <c r="B44" t="s">
        <v>32</v>
      </c>
    </row>
    <row r="45" spans="1:2" x14ac:dyDescent="0.25">
      <c r="B45" t="s">
        <v>33</v>
      </c>
    </row>
    <row r="46" spans="1:2" x14ac:dyDescent="0.25">
      <c r="B46" t="s">
        <v>16</v>
      </c>
    </row>
    <row r="47" spans="1:2" x14ac:dyDescent="0.25">
      <c r="B47" t="s">
        <v>145</v>
      </c>
    </row>
    <row r="48" spans="1:2" x14ac:dyDescent="0.25">
      <c r="B48" t="s">
        <v>146</v>
      </c>
    </row>
    <row r="49" spans="2:2" x14ac:dyDescent="0.25">
      <c r="B49" t="s">
        <v>33</v>
      </c>
    </row>
    <row r="50" spans="2:2" x14ac:dyDescent="0.25">
      <c r="B50" t="s">
        <v>12</v>
      </c>
    </row>
    <row r="51" spans="2:2" x14ac:dyDescent="0.25">
      <c r="B51" t="s">
        <v>44</v>
      </c>
    </row>
    <row r="52" spans="2:2" x14ac:dyDescent="0.25">
      <c r="B52" t="s">
        <v>15</v>
      </c>
    </row>
    <row r="53" spans="2:2" x14ac:dyDescent="0.25">
      <c r="B53" t="s">
        <v>30</v>
      </c>
    </row>
    <row r="54" spans="2:2" x14ac:dyDescent="0.25">
      <c r="B54" t="s">
        <v>34</v>
      </c>
    </row>
    <row r="55" spans="2:2" x14ac:dyDescent="0.25">
      <c r="B55" t="s">
        <v>12</v>
      </c>
    </row>
    <row r="56" spans="2:2" x14ac:dyDescent="0.25">
      <c r="B56" t="s">
        <v>183</v>
      </c>
    </row>
    <row r="57" spans="2:2" x14ac:dyDescent="0.25">
      <c r="B57" t="s">
        <v>40</v>
      </c>
    </row>
    <row r="58" spans="2:2" x14ac:dyDescent="0.25">
      <c r="B58" t="s">
        <v>43</v>
      </c>
    </row>
    <row r="59" spans="2:2" x14ac:dyDescent="0.25">
      <c r="B59" t="s">
        <v>39</v>
      </c>
    </row>
    <row r="60" spans="2:2" x14ac:dyDescent="0.25">
      <c r="B60" t="s">
        <v>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F5F05-1077-4108-9016-FBB2982060B4}">
  <sheetPr codeName="Sheet6" filterMode="1"/>
  <dimension ref="A1:A61"/>
  <sheetViews>
    <sheetView workbookViewId="0"/>
  </sheetViews>
  <sheetFormatPr defaultRowHeight="15" x14ac:dyDescent="0.25"/>
  <sheetData>
    <row r="1" spans="1:1" x14ac:dyDescent="0.25">
      <c r="A1" s="1" t="s">
        <v>136</v>
      </c>
    </row>
    <row r="2" spans="1:1" x14ac:dyDescent="0.25">
      <c r="A2" t="s">
        <v>17</v>
      </c>
    </row>
    <row r="3" spans="1:1" x14ac:dyDescent="0.25">
      <c r="A3" t="s">
        <v>14</v>
      </c>
    </row>
    <row r="4" spans="1:1" x14ac:dyDescent="0.25">
      <c r="A4" t="s">
        <v>13</v>
      </c>
    </row>
    <row r="5" spans="1:1" hidden="1" x14ac:dyDescent="0.25">
      <c r="A5" t="s">
        <v>17</v>
      </c>
    </row>
    <row r="6" spans="1:1" hidden="1" x14ac:dyDescent="0.25">
      <c r="A6" t="s">
        <v>14</v>
      </c>
    </row>
    <row r="7" spans="1:1" hidden="1" x14ac:dyDescent="0.25">
      <c r="A7" t="s">
        <v>13</v>
      </c>
    </row>
    <row r="8" spans="1:1" hidden="1" x14ac:dyDescent="0.25">
      <c r="A8" t="s">
        <v>17</v>
      </c>
    </row>
    <row r="9" spans="1:1" hidden="1" x14ac:dyDescent="0.25">
      <c r="A9" t="s">
        <v>14</v>
      </c>
    </row>
    <row r="10" spans="1:1" hidden="1" x14ac:dyDescent="0.25">
      <c r="A10" t="s">
        <v>13</v>
      </c>
    </row>
    <row r="11" spans="1:1" hidden="1" x14ac:dyDescent="0.25">
      <c r="A11" t="s">
        <v>17</v>
      </c>
    </row>
    <row r="12" spans="1:1" hidden="1" x14ac:dyDescent="0.25">
      <c r="A12" t="s">
        <v>14</v>
      </c>
    </row>
    <row r="13" spans="1:1" hidden="1" x14ac:dyDescent="0.25">
      <c r="A13" t="s">
        <v>13</v>
      </c>
    </row>
    <row r="14" spans="1:1" hidden="1" x14ac:dyDescent="0.25">
      <c r="A14" t="s">
        <v>17</v>
      </c>
    </row>
    <row r="15" spans="1:1" hidden="1" x14ac:dyDescent="0.25">
      <c r="A15" t="s">
        <v>14</v>
      </c>
    </row>
    <row r="16" spans="1:1" hidden="1" x14ac:dyDescent="0.25">
      <c r="A16" t="s">
        <v>13</v>
      </c>
    </row>
    <row r="17" spans="1:1" hidden="1" x14ac:dyDescent="0.25">
      <c r="A17" t="s">
        <v>17</v>
      </c>
    </row>
    <row r="18" spans="1:1" hidden="1" x14ac:dyDescent="0.25">
      <c r="A18" t="s">
        <v>14</v>
      </c>
    </row>
    <row r="19" spans="1:1" hidden="1" x14ac:dyDescent="0.25">
      <c r="A19" t="s">
        <v>13</v>
      </c>
    </row>
    <row r="20" spans="1:1" hidden="1" x14ac:dyDescent="0.25">
      <c r="A20" t="s">
        <v>17</v>
      </c>
    </row>
    <row r="21" spans="1:1" hidden="1" x14ac:dyDescent="0.25">
      <c r="A21" t="s">
        <v>14</v>
      </c>
    </row>
    <row r="22" spans="1:1" hidden="1" x14ac:dyDescent="0.25">
      <c r="A22" t="s">
        <v>13</v>
      </c>
    </row>
    <row r="23" spans="1:1" x14ac:dyDescent="0.25">
      <c r="A23" t="s">
        <v>29</v>
      </c>
    </row>
    <row r="24" spans="1:1" x14ac:dyDescent="0.25">
      <c r="A24" t="s">
        <v>37</v>
      </c>
    </row>
    <row r="25" spans="1:1" hidden="1" x14ac:dyDescent="0.25">
      <c r="A25" t="s">
        <v>29</v>
      </c>
    </row>
    <row r="26" spans="1:1" hidden="1" x14ac:dyDescent="0.25">
      <c r="A26" t="s">
        <v>37</v>
      </c>
    </row>
    <row r="27" spans="1:1" hidden="1" x14ac:dyDescent="0.25">
      <c r="A27" t="s">
        <v>29</v>
      </c>
    </row>
    <row r="28" spans="1:1" hidden="1" x14ac:dyDescent="0.25">
      <c r="A28" t="s">
        <v>37</v>
      </c>
    </row>
    <row r="29" spans="1:1" hidden="1" x14ac:dyDescent="0.25">
      <c r="A29" t="s">
        <v>29</v>
      </c>
    </row>
    <row r="30" spans="1:1" hidden="1" x14ac:dyDescent="0.25">
      <c r="A30" t="s">
        <v>37</v>
      </c>
    </row>
    <row r="31" spans="1:1" hidden="1" x14ac:dyDescent="0.25">
      <c r="A31" t="s">
        <v>29</v>
      </c>
    </row>
    <row r="32" spans="1:1" hidden="1" x14ac:dyDescent="0.25">
      <c r="A32" t="s">
        <v>37</v>
      </c>
    </row>
    <row r="33" spans="1:1" hidden="1" x14ac:dyDescent="0.25">
      <c r="A33" t="s">
        <v>29</v>
      </c>
    </row>
    <row r="34" spans="1:1" hidden="1" x14ac:dyDescent="0.25">
      <c r="A34" t="s">
        <v>37</v>
      </c>
    </row>
    <row r="35" spans="1:1" hidden="1" x14ac:dyDescent="0.25">
      <c r="A35" t="s">
        <v>29</v>
      </c>
    </row>
    <row r="36" spans="1:1" hidden="1" x14ac:dyDescent="0.25">
      <c r="A36" t="s">
        <v>37</v>
      </c>
    </row>
    <row r="37" spans="1:1" x14ac:dyDescent="0.25">
      <c r="A37" t="s">
        <v>38</v>
      </c>
    </row>
    <row r="38" spans="1:1" hidden="1" x14ac:dyDescent="0.25">
      <c r="A38" t="s">
        <v>38</v>
      </c>
    </row>
    <row r="39" spans="1:1" hidden="1" x14ac:dyDescent="0.25">
      <c r="A39" t="s">
        <v>38</v>
      </c>
    </row>
    <row r="40" spans="1:1" hidden="1" x14ac:dyDescent="0.25">
      <c r="A40" t="s">
        <v>38</v>
      </c>
    </row>
    <row r="41" spans="1:1" hidden="1" x14ac:dyDescent="0.25">
      <c r="A41" t="s">
        <v>38</v>
      </c>
    </row>
    <row r="42" spans="1:1" hidden="1" x14ac:dyDescent="0.25">
      <c r="A42" t="s">
        <v>38</v>
      </c>
    </row>
    <row r="43" spans="1:1" hidden="1" x14ac:dyDescent="0.25">
      <c r="A43" t="s">
        <v>38</v>
      </c>
    </row>
    <row r="44" spans="1:1" x14ac:dyDescent="0.25">
      <c r="A44" t="s">
        <v>31</v>
      </c>
    </row>
    <row r="45" spans="1:1" x14ac:dyDescent="0.25">
      <c r="A45" t="s">
        <v>32</v>
      </c>
    </row>
    <row r="46" spans="1:1" x14ac:dyDescent="0.25">
      <c r="A46" t="s">
        <v>33</v>
      </c>
    </row>
    <row r="47" spans="1:1" x14ac:dyDescent="0.25">
      <c r="A47" t="s">
        <v>16</v>
      </c>
    </row>
    <row r="48" spans="1:1" x14ac:dyDescent="0.25">
      <c r="A48" t="s">
        <v>145</v>
      </c>
    </row>
    <row r="49" spans="1:1" x14ac:dyDescent="0.25">
      <c r="A49" t="s">
        <v>146</v>
      </c>
    </row>
    <row r="50" spans="1:1" hidden="1" x14ac:dyDescent="0.25">
      <c r="A50" t="s">
        <v>33</v>
      </c>
    </row>
    <row r="51" spans="1:1" x14ac:dyDescent="0.25">
      <c r="A51" t="s">
        <v>12</v>
      </c>
    </row>
    <row r="52" spans="1:1" x14ac:dyDescent="0.25">
      <c r="A52" t="s">
        <v>44</v>
      </c>
    </row>
    <row r="53" spans="1:1" x14ac:dyDescent="0.25">
      <c r="A53" t="s">
        <v>15</v>
      </c>
    </row>
    <row r="54" spans="1:1" x14ac:dyDescent="0.25">
      <c r="A54" t="s">
        <v>30</v>
      </c>
    </row>
    <row r="55" spans="1:1" x14ac:dyDescent="0.25">
      <c r="A55" t="s">
        <v>34</v>
      </c>
    </row>
    <row r="56" spans="1:1" hidden="1" x14ac:dyDescent="0.25">
      <c r="A56" t="s">
        <v>12</v>
      </c>
    </row>
    <row r="57" spans="1:1" x14ac:dyDescent="0.25">
      <c r="A57" t="s">
        <v>183</v>
      </c>
    </row>
    <row r="58" spans="1:1" x14ac:dyDescent="0.25">
      <c r="A58" t="s">
        <v>40</v>
      </c>
    </row>
    <row r="59" spans="1:1" x14ac:dyDescent="0.25">
      <c r="A59" t="s">
        <v>43</v>
      </c>
    </row>
    <row r="60" spans="1:1" x14ac:dyDescent="0.25">
      <c r="A60" t="s">
        <v>39</v>
      </c>
    </row>
    <row r="61" spans="1:1" x14ac:dyDescent="0.25">
      <c r="A61" t="s">
        <v>133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1F385-5526-4EFC-B1D6-1B57D7609C99}">
  <sheetPr codeName="Sheet9"/>
  <dimension ref="A1:B38"/>
  <sheetViews>
    <sheetView workbookViewId="0">
      <selection activeCell="B16" sqref="B16:B22"/>
    </sheetView>
  </sheetViews>
  <sheetFormatPr defaultRowHeight="15" x14ac:dyDescent="0.25"/>
  <sheetData>
    <row r="1" spans="1:2" x14ac:dyDescent="0.25">
      <c r="A1" t="s">
        <v>145</v>
      </c>
      <c r="B1" t="s">
        <v>11</v>
      </c>
    </row>
    <row r="2" spans="1:2" x14ac:dyDescent="0.25">
      <c r="A2" t="s">
        <v>146</v>
      </c>
      <c r="B2" t="s">
        <v>36</v>
      </c>
    </row>
    <row r="3" spans="1:2" x14ac:dyDescent="0.25">
      <c r="A3" t="s">
        <v>168</v>
      </c>
      <c r="B3" t="s">
        <v>35</v>
      </c>
    </row>
    <row r="4" spans="1:2" x14ac:dyDescent="0.25">
      <c r="A4" t="s">
        <v>169</v>
      </c>
      <c r="B4" t="s">
        <v>185</v>
      </c>
    </row>
    <row r="5" spans="1:2" x14ac:dyDescent="0.25">
      <c r="A5" t="s">
        <v>133</v>
      </c>
      <c r="B5" t="s">
        <v>10</v>
      </c>
    </row>
    <row r="6" spans="1:2" x14ac:dyDescent="0.25">
      <c r="A6" t="s">
        <v>170</v>
      </c>
      <c r="B6" t="s">
        <v>38</v>
      </c>
    </row>
    <row r="7" spans="1:2" x14ac:dyDescent="0.25">
      <c r="A7" t="s">
        <v>171</v>
      </c>
      <c r="B7" t="s">
        <v>9</v>
      </c>
    </row>
    <row r="8" spans="1:2" x14ac:dyDescent="0.25">
      <c r="A8" t="s">
        <v>172</v>
      </c>
      <c r="B8" t="s">
        <v>8</v>
      </c>
    </row>
    <row r="9" spans="1:2" x14ac:dyDescent="0.25">
      <c r="A9" t="s">
        <v>44</v>
      </c>
      <c r="B9" t="s">
        <v>7</v>
      </c>
    </row>
    <row r="10" spans="1:2" x14ac:dyDescent="0.25">
      <c r="A10" t="s">
        <v>39</v>
      </c>
      <c r="B10" t="s">
        <v>6</v>
      </c>
    </row>
    <row r="11" spans="1:2" x14ac:dyDescent="0.25">
      <c r="A11" t="s">
        <v>173</v>
      </c>
      <c r="B11" t="s">
        <v>5</v>
      </c>
    </row>
    <row r="12" spans="1:2" x14ac:dyDescent="0.25">
      <c r="A12" t="s">
        <v>38</v>
      </c>
      <c r="B12" t="s">
        <v>4</v>
      </c>
    </row>
    <row r="13" spans="1:2" x14ac:dyDescent="0.25">
      <c r="A13" t="s">
        <v>174</v>
      </c>
      <c r="B13" t="s">
        <v>3</v>
      </c>
    </row>
    <row r="14" spans="1:2" x14ac:dyDescent="0.25">
      <c r="A14" t="s">
        <v>40</v>
      </c>
      <c r="B14" t="s">
        <v>2</v>
      </c>
    </row>
    <row r="15" spans="1:2" x14ac:dyDescent="0.25">
      <c r="A15" t="s">
        <v>31</v>
      </c>
      <c r="B15" t="s">
        <v>1</v>
      </c>
    </row>
    <row r="16" spans="1:2" x14ac:dyDescent="0.25">
      <c r="A16" t="s">
        <v>32</v>
      </c>
      <c r="B16" t="s">
        <v>0</v>
      </c>
    </row>
    <row r="17" spans="1:2" x14ac:dyDescent="0.25">
      <c r="A17" t="s">
        <v>33</v>
      </c>
      <c r="B17" t="s">
        <v>21</v>
      </c>
    </row>
    <row r="18" spans="1:2" x14ac:dyDescent="0.25">
      <c r="A18" t="s">
        <v>175</v>
      </c>
      <c r="B18" t="s">
        <v>58</v>
      </c>
    </row>
    <row r="19" spans="1:2" x14ac:dyDescent="0.25">
      <c r="A19" t="s">
        <v>17</v>
      </c>
      <c r="B19" t="s">
        <v>59</v>
      </c>
    </row>
    <row r="20" spans="1:2" x14ac:dyDescent="0.25">
      <c r="A20" t="s">
        <v>16</v>
      </c>
      <c r="B20" t="s">
        <v>133</v>
      </c>
    </row>
    <row r="21" spans="1:2" x14ac:dyDescent="0.25">
      <c r="A21" t="s">
        <v>15</v>
      </c>
      <c r="B21" t="s">
        <v>134</v>
      </c>
    </row>
    <row r="22" spans="1:2" x14ac:dyDescent="0.25">
      <c r="A22" t="s">
        <v>176</v>
      </c>
      <c r="B22" t="s">
        <v>144</v>
      </c>
    </row>
    <row r="23" spans="1:2" x14ac:dyDescent="0.25">
      <c r="A23" t="s">
        <v>14</v>
      </c>
    </row>
    <row r="24" spans="1:2" x14ac:dyDescent="0.25">
      <c r="A24" t="s">
        <v>13</v>
      </c>
    </row>
    <row r="25" spans="1:2" x14ac:dyDescent="0.25">
      <c r="A25" t="s">
        <v>30</v>
      </c>
    </row>
    <row r="26" spans="1:2" x14ac:dyDescent="0.25">
      <c r="A26" t="s">
        <v>177</v>
      </c>
    </row>
    <row r="27" spans="1:2" x14ac:dyDescent="0.25">
      <c r="A27" t="s">
        <v>178</v>
      </c>
    </row>
    <row r="28" spans="1:2" x14ac:dyDescent="0.25">
      <c r="A28" t="s">
        <v>179</v>
      </c>
    </row>
    <row r="29" spans="1:2" x14ac:dyDescent="0.25">
      <c r="A29" t="s">
        <v>29</v>
      </c>
    </row>
    <row r="30" spans="1:2" x14ac:dyDescent="0.25">
      <c r="A30" t="s">
        <v>37</v>
      </c>
    </row>
    <row r="31" spans="1:2" x14ac:dyDescent="0.25">
      <c r="A31" t="s">
        <v>180</v>
      </c>
    </row>
    <row r="32" spans="1:2" x14ac:dyDescent="0.25">
      <c r="A32" t="s">
        <v>181</v>
      </c>
    </row>
    <row r="33" spans="1:1" x14ac:dyDescent="0.25">
      <c r="A33" t="s">
        <v>182</v>
      </c>
    </row>
    <row r="34" spans="1:1" x14ac:dyDescent="0.25">
      <c r="A34" t="s">
        <v>34</v>
      </c>
    </row>
    <row r="35" spans="1:1" x14ac:dyDescent="0.25">
      <c r="A35" t="s">
        <v>43</v>
      </c>
    </row>
    <row r="36" spans="1:1" x14ac:dyDescent="0.25">
      <c r="A36" t="s">
        <v>12</v>
      </c>
    </row>
    <row r="37" spans="1:1" x14ac:dyDescent="0.25">
      <c r="A37" t="s">
        <v>183</v>
      </c>
    </row>
    <row r="38" spans="1:1" x14ac:dyDescent="0.25">
      <c r="A38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Loading</vt:lpstr>
      <vt:lpstr>Distribution List</vt:lpstr>
      <vt:lpstr>Barcodes</vt:lpstr>
      <vt:lpstr>Pantry</vt:lpstr>
      <vt:lpstr>Food Library</vt:lpstr>
      <vt:lpstr>Shopping List</vt:lpstr>
      <vt:lpstr>Definition</vt:lpstr>
      <vt:lpstr>Sandbox</vt:lpstr>
      <vt:lpstr>Consolidate</vt:lpstr>
      <vt:lpstr>Ingredients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Plaster</dc:creator>
  <cp:lastModifiedBy>John Plaster</cp:lastModifiedBy>
  <dcterms:created xsi:type="dcterms:W3CDTF">2019-10-02T21:43:52Z</dcterms:created>
  <dcterms:modified xsi:type="dcterms:W3CDTF">2024-06-19T16:17:58Z</dcterms:modified>
</cp:coreProperties>
</file>